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4ee46c55b5fc2ded/Documents/Git/times-ireland-model/SuppXLS/"/>
    </mc:Choice>
  </mc:AlternateContent>
  <xr:revisionPtr revIDLastSave="8" documentId="8_{78434D9D-78A7-4BD7-9045-4DAD8F079ED4}" xr6:coauthVersionLast="47" xr6:coauthVersionMax="47" xr10:uidLastSave="{D7EACBBF-0A62-45B7-BC7E-7D5E01BD32D7}"/>
  <bookViews>
    <workbookView xWindow="-108" yWindow="-108" windowWidth="23256" windowHeight="13896" activeTab="3" xr2:uid="{00000000-000D-0000-FFFF-FFFF00000000}"/>
  </bookViews>
  <sheets>
    <sheet name="Cover" sheetId="24" r:id="rId1"/>
    <sheet name="Regions" sheetId="15" r:id="rId2"/>
    <sheet name="config" sheetId="20" r:id="rId3"/>
    <sheet name="H2price" sheetId="23" r:id="rId4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" i="20" l="1"/>
  <c r="J9" i="20"/>
  <c r="J10" i="20"/>
  <c r="J11" i="20"/>
  <c r="J12" i="20"/>
  <c r="J7" i="20"/>
  <c r="AD5" i="15"/>
  <c r="AC5" i="15"/>
  <c r="AB5" i="15"/>
  <c r="AA5" i="15"/>
  <c r="Z5" i="15"/>
  <c r="Y5" i="15"/>
  <c r="Y7" i="15"/>
  <c r="X5" i="15"/>
  <c r="W5" i="15"/>
  <c r="V5" i="15"/>
  <c r="U5" i="15"/>
  <c r="T5" i="15"/>
  <c r="S5" i="15"/>
  <c r="R5" i="15"/>
  <c r="Q5" i="15"/>
  <c r="Q7" i="15"/>
  <c r="P5" i="15"/>
  <c r="O5" i="15"/>
  <c r="N5" i="15"/>
  <c r="M5" i="15"/>
  <c r="L5" i="15"/>
  <c r="K5" i="15"/>
  <c r="J5" i="15"/>
  <c r="I5" i="15"/>
  <c r="I7" i="15"/>
  <c r="H5" i="15"/>
  <c r="G5" i="15"/>
  <c r="F5" i="15"/>
  <c r="E5" i="15"/>
  <c r="D7" i="15"/>
  <c r="C7" i="15"/>
  <c r="D6" i="15"/>
  <c r="C6" i="15"/>
  <c r="AD7" i="15"/>
  <c r="AC7" i="15"/>
  <c r="AB7" i="15"/>
  <c r="AA7" i="15"/>
  <c r="Z6" i="15"/>
  <c r="X6" i="15"/>
  <c r="W3" i="15" a="1"/>
  <c r="V7" i="15"/>
  <c r="U7" i="15"/>
  <c r="T7" i="15"/>
  <c r="S7" i="15"/>
  <c r="R6" i="15"/>
  <c r="P6" i="15"/>
  <c r="O3" i="15" a="1"/>
  <c r="N7" i="15"/>
  <c r="M7" i="15"/>
  <c r="L7" i="15"/>
  <c r="K7" i="15"/>
  <c r="J6" i="15"/>
  <c r="H6" i="15"/>
  <c r="G3" i="15" a="1"/>
  <c r="F7" i="15"/>
  <c r="E7" i="15"/>
  <c r="AD3" i="15" a="1"/>
  <c r="AB3" i="15" a="1"/>
  <c r="AA3" i="15" a="1"/>
  <c r="X3" i="15" a="1"/>
  <c r="V3" i="15" a="1"/>
  <c r="Q3" i="15" a="1"/>
  <c r="P3" i="15" a="1"/>
  <c r="H3" i="15" a="1"/>
  <c r="D3" i="15" a="1"/>
  <c r="C3" i="15" a="1"/>
  <c r="I3" i="15" a="1"/>
  <c r="Y3" i="15" a="1"/>
  <c r="J3" i="15" a="1"/>
  <c r="K3" i="15" a="1"/>
  <c r="T3" i="15" a="1"/>
  <c r="E3" i="15" a="1"/>
  <c r="N3" i="15" a="1"/>
  <c r="R3" i="15" a="1"/>
  <c r="S3" i="15" a="1"/>
  <c r="F3" i="15" a="1"/>
  <c r="Z3" i="15" a="1"/>
  <c r="I6" i="15"/>
  <c r="K6" i="15"/>
  <c r="Q6" i="15"/>
  <c r="S6" i="15"/>
  <c r="Y6" i="15"/>
  <c r="AA6" i="15"/>
  <c r="L3" i="15" a="1"/>
  <c r="M3" i="15" a="1"/>
  <c r="G7" i="15"/>
  <c r="O7" i="15"/>
  <c r="W7" i="15"/>
  <c r="L6" i="15"/>
  <c r="T6" i="15"/>
  <c r="AB6" i="15"/>
  <c r="H7" i="15"/>
  <c r="P7" i="15"/>
  <c r="X7" i="15"/>
  <c r="AC3" i="15" a="1"/>
  <c r="E6" i="15"/>
  <c r="M6" i="15"/>
  <c r="U6" i="15"/>
  <c r="AC6" i="15"/>
  <c r="U3" i="15" a="1"/>
  <c r="F6" i="15"/>
  <c r="N6" i="15"/>
  <c r="V6" i="15"/>
  <c r="AD6" i="15"/>
  <c r="J7" i="15"/>
  <c r="R7" i="15"/>
  <c r="Z7" i="15"/>
  <c r="G6" i="15"/>
  <c r="O6" i="15"/>
  <c r="W6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<sst xmlns="http://schemas.openxmlformats.org/spreadsheetml/2006/main" count="91" uniqueCount="90">
  <si>
    <t>LimType</t>
  </si>
  <si>
    <t>Wicklow</t>
  </si>
  <si>
    <t>Wexford</t>
  </si>
  <si>
    <t>Westmeath</t>
  </si>
  <si>
    <t>Waterford</t>
  </si>
  <si>
    <t>Tipperary</t>
  </si>
  <si>
    <t>Sligo</t>
  </si>
  <si>
    <t>Roscommon</t>
  </si>
  <si>
    <t>Offaly</t>
  </si>
  <si>
    <t>Monaghan</t>
  </si>
  <si>
    <t>Meath</t>
  </si>
  <si>
    <t>Mayo</t>
  </si>
  <si>
    <t>Louth</t>
  </si>
  <si>
    <t>Longford</t>
  </si>
  <si>
    <t>Limerick</t>
  </si>
  <si>
    <t>Leitrim</t>
  </si>
  <si>
    <t>Laois</t>
  </si>
  <si>
    <t>Kilkenny</t>
  </si>
  <si>
    <t>Kildare</t>
  </si>
  <si>
    <t>Kerry</t>
  </si>
  <si>
    <t>Galway</t>
  </si>
  <si>
    <t>Dublin</t>
  </si>
  <si>
    <t>Donegal</t>
  </si>
  <si>
    <t>Cork</t>
  </si>
  <si>
    <t>Clare</t>
  </si>
  <si>
    <t>Cavan</t>
  </si>
  <si>
    <t>Carlow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</si>
  <si>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</si>
  <si>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</si>
  <si>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</si>
  <si>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</si>
  <si>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</si>
  <si>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</si>
  <si>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</si>
  <si>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</si>
  <si>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IE-CN</t>
  </si>
  <si>
    <t>IE-CE</t>
  </si>
  <si>
    <t>IE-CO</t>
  </si>
  <si>
    <t>IE-DL</t>
  </si>
  <si>
    <t>IE-D</t>
  </si>
  <si>
    <t>IE-G</t>
  </si>
  <si>
    <t>IE-KY</t>
  </si>
  <si>
    <t>IE-KE</t>
  </si>
  <si>
    <t>IE-KK</t>
  </si>
  <si>
    <t>IE-LS</t>
  </si>
  <si>
    <t>IE-LM</t>
  </si>
  <si>
    <t>IE-LK</t>
  </si>
  <si>
    <t>IE-LD</t>
  </si>
  <si>
    <t>IE-LH</t>
  </si>
  <si>
    <t>IE-MO</t>
  </si>
  <si>
    <t>IE-MH</t>
  </si>
  <si>
    <t>IE-MN</t>
  </si>
  <si>
    <t>IE-OY</t>
  </si>
  <si>
    <t>IE-RN</t>
  </si>
  <si>
    <t>IE-SO</t>
  </si>
  <si>
    <t>IE-TA</t>
  </si>
  <si>
    <t>IE-WD</t>
  </si>
  <si>
    <t>IE-WH</t>
  </si>
  <si>
    <t>IE-WX</t>
  </si>
  <si>
    <t>IE-WW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</si>
  <si>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</si>
  <si>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Cset_CN</t>
  </si>
  <si>
    <t>TimeSlice</t>
  </si>
  <si>
    <t>Attribute</t>
  </si>
  <si>
    <t>Case #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</si>
  <si>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</si>
  <si>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</si>
  <si>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</si>
  <si>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</si>
  <si>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</si>
  <si>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</si>
  <si>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</si>
  <si>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</si>
  <si>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</si>
  <si>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</si>
  <si>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</si>
  <si>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</si>
  <si>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 - Parametric</t>
  </si>
  <si>
    <t>All</t>
  </si>
  <si>
    <t>Bakytzhan Suleimenov (UCC, bsuleimenov@ucc.ie)</t>
  </si>
  <si>
    <t>Specify carbon price and tax on sectoral basis</t>
  </si>
  <si>
    <t>FF_price</t>
  </si>
  <si>
    <t>~TFM_UPD</t>
  </si>
  <si>
    <t>Pset_PN</t>
  </si>
  <si>
    <t>IRE_PRICE</t>
  </si>
  <si>
    <t>AllRegions</t>
  </si>
  <si>
    <t>~InputCell:1,4</t>
  </si>
  <si>
    <t>ELC, BIO</t>
  </si>
  <si>
    <t>*.1</t>
  </si>
  <si>
    <t>IMPH2G*,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</si>
</sst>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5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2" fillId="0" borderId="0"/>
  </cellStyleXfs>
  <cellXfs count="32">
    <xf numFmtId="0" fontId="0" fillId="0" borderId="0" xfId="0"/>
    <xf numFmtId="0" fontId="3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" fillId="3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0" xfId="0" applyFont="1"/>
    <xf numFmtId="0" fontId="4" fillId="0" borderId="0" xfId="0" applyFont="1"/>
    <xf numFmtId="0" fontId="1" fillId="5" borderId="1" xfId="0" applyFont="1" applyFill="1" applyBorder="1"/>
    <xf numFmtId="1" fontId="0" fillId="0" borderId="0" xfId="0" applyNumberFormat="1"/>
    <xf numFmtId="0" fontId="5" fillId="6" borderId="0" xfId="2" applyFont="1" applyFill="1" applyAlignment="1">
      <alignment vertical="center"/>
    </xf>
    <xf numFmtId="0" fontId="5" fillId="4" borderId="0" xfId="2" applyFont="1" applyFill="1" applyAlignment="1">
      <alignment vertical="center"/>
    </xf>
    <xf numFmtId="0" fontId="7" fillId="4" borderId="0" xfId="2" applyFont="1" applyFill="1" applyAlignment="1">
      <alignment vertical="center"/>
    </xf>
    <xf numFmtId="0" fontId="6" fillId="4" borderId="0" xfId="2" applyFont="1" applyFill="1" applyAlignment="1">
      <alignment vertical="center"/>
    </xf>
    <xf numFmtId="0" fontId="5" fillId="7" borderId="0" xfId="2" applyFont="1" applyFill="1" applyAlignment="1">
      <alignment vertical="center"/>
    </xf>
    <xf numFmtId="0" fontId="8" fillId="4" borderId="0" xfId="2" applyFont="1" applyFill="1" applyAlignment="1">
      <alignment vertical="center"/>
    </xf>
    <xf numFmtId="0" fontId="9" fillId="4" borderId="0" xfId="2" applyFont="1" applyFill="1" applyAlignment="1">
      <alignment vertical="center"/>
    </xf>
    <xf numFmtId="0" fontId="10" fillId="6" borderId="0" xfId="2" applyFont="1" applyFill="1" applyAlignment="1">
      <alignment vertical="center"/>
    </xf>
    <xf numFmtId="0" fontId="11" fillId="4" borderId="0" xfId="2" applyFont="1" applyFill="1" applyAlignment="1">
      <alignment vertical="center"/>
    </xf>
    <xf numFmtId="0" fontId="12" fillId="4" borderId="0" xfId="2" applyFont="1" applyFill="1" applyAlignment="1">
      <alignment vertical="center"/>
    </xf>
    <xf numFmtId="0" fontId="11" fillId="6" borderId="0" xfId="2" applyFont="1" applyFill="1" applyAlignment="1">
      <alignment vertical="center"/>
    </xf>
    <xf numFmtId="164" fontId="11" fillId="6" borderId="0" xfId="2" applyNumberFormat="1" applyFont="1" applyFill="1" applyAlignment="1">
      <alignment horizontal="left" vertical="center"/>
    </xf>
    <xf numFmtId="0" fontId="13" fillId="4" borderId="0" xfId="2" applyFont="1" applyFill="1" applyAlignment="1">
      <alignment vertical="center"/>
    </xf>
    <xf numFmtId="0" fontId="14" fillId="6" borderId="0" xfId="2" applyFont="1" applyFill="1" applyAlignment="1">
      <alignment vertical="center"/>
    </xf>
    <xf numFmtId="0" fontId="6" fillId="6" borderId="0" xfId="1" applyFill="1" applyAlignment="1">
      <alignment vertical="center"/>
    </xf>
    <xf numFmtId="165" fontId="0" fillId="0" borderId="0" xfId="0" applyNumberFormat="1"/>
    <xf numFmtId="2" fontId="0" fillId="0" borderId="0" xfId="0" applyNumberFormat="1"/>
    <xf numFmtId="0" fontId="1" fillId="5" borderId="0" xfId="0" applyFont="1" applyFill="1"/>
    <xf numFmtId="0" fontId="11" fillId="6" borderId="0" xfId="2" applyFont="1" applyFill="1" applyAlignment="1">
      <alignment vertical="center"/>
    </xf>
    <xf numFmtId="0" fontId="7" fillId="6" borderId="0" xfId="2" applyFont="1" applyFill="1" applyAlignment="1">
      <alignment horizontal="center" vertical="center"/>
    </xf>
    <xf numFmtId="0" fontId="6" fillId="6" borderId="0" xfId="1" applyFill="1" applyAlignment="1">
      <alignment vertical="center"/>
    </xf>
  </cellXfs>
  <cellStyles count="3">
    <cellStyle name="Hyperlink" xfId="1" builtinId="8"/>
    <cellStyle name="Normal" xfId="0" builtinId="0"/>
    <cellStyle name="Normal 2" xfId="2" xr:uid="{1494D221-184F-44A1-8114-99305ADA40B4}"/>
  </cellStyles>
  <dxfs count="0"/>
  <tableStyles count="0" defaultTableStyle="TableStyleMedium9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22860</xdr:colOff>
          <xdr:row>3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5D97-54F2-4C7A-839A-18DE73A7A25B}">
  <sheetPr codeName="Sheet5"/>
  <dimension ref="A1:Z99"/>
  <sheetViews>
    <sheetView showGridLines="0" topLeftCell="A8" zoomScaleNormal="100" workbookViewId="0">
      <selection activeCell="B22" sqref="B22"/>
    </sheetView>
  </sheetViews>
  <sheetFormatPr defaultColWidth="8.77734375" defaultRowHeight="14.4" x14ac:dyDescent="0.3"/>
  <cols>
    <col min="1" max="4" width="21.77734375" customWidth="1"/>
    <col min="5" max="6" width="14.21875" customWidth="1"/>
    <col min="7" max="7" width="12.21875" customWidth="1"/>
    <col min="8" max="10" width="8.21875" customWidth="1"/>
    <col min="11" max="11" width="9.77734375" customWidth="1"/>
    <col min="12" max="12" width="8.21875" customWidth="1"/>
    <col min="13" max="13" width="10" customWidth="1"/>
    <col min="14" max="14" width="11.44140625" customWidth="1"/>
    <col min="15" max="15" width="13.44140625" customWidth="1"/>
  </cols>
  <sheetData>
    <row r="1" spans="1:26" x14ac:dyDescent="0.3">
      <c r="A1" s="11"/>
      <c r="B1" s="11"/>
      <c r="C1" s="11"/>
      <c r="D1" s="11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x14ac:dyDescent="0.3">
      <c r="A2" s="11"/>
      <c r="B2" s="11"/>
      <c r="C2" s="11"/>
      <c r="D2" s="11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x14ac:dyDescent="0.3">
      <c r="A3" s="11"/>
      <c r="B3" s="11"/>
      <c r="C3" s="11"/>
      <c r="D3" s="11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x14ac:dyDescent="0.3">
      <c r="A4" s="11"/>
      <c r="B4" s="11"/>
      <c r="C4" s="11"/>
      <c r="D4" s="11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x14ac:dyDescent="0.3">
      <c r="A5" s="11"/>
      <c r="B5" s="11"/>
      <c r="C5" s="11"/>
      <c r="D5" s="11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x14ac:dyDescent="0.3">
      <c r="A6" s="11"/>
      <c r="B6" s="11"/>
      <c r="C6" s="11"/>
      <c r="D6" s="11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x14ac:dyDescent="0.3">
      <c r="A7" s="11"/>
      <c r="B7" s="11"/>
      <c r="C7" s="11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x14ac:dyDescent="0.3">
      <c r="A8" s="11"/>
      <c r="B8" s="11"/>
      <c r="C8" s="11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x14ac:dyDescent="0.3">
      <c r="A9" s="11"/>
      <c r="B9" s="11"/>
      <c r="C9" s="11"/>
      <c r="D9" s="11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x14ac:dyDescent="0.3">
      <c r="A10" s="11"/>
      <c r="B10" s="11"/>
      <c r="C10" s="11"/>
      <c r="D10" s="11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x14ac:dyDescent="0.3">
      <c r="A11" s="11"/>
      <c r="B11" s="11"/>
      <c r="C11" s="11"/>
      <c r="D11" s="11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x14ac:dyDescent="0.3">
      <c r="A12" s="11"/>
      <c r="B12" s="11"/>
      <c r="C12" s="11"/>
      <c r="D12" s="11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x14ac:dyDescent="0.3">
      <c r="A13" s="11"/>
      <c r="B13" s="11"/>
      <c r="C13" s="11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x14ac:dyDescent="0.3">
      <c r="A14" s="11"/>
      <c r="B14" s="11"/>
      <c r="C14" s="11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x14ac:dyDescent="0.3">
      <c r="A15" s="11"/>
      <c r="B15" s="11"/>
      <c r="C15" s="11"/>
      <c r="D15" s="11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02.75" customHeight="1" x14ac:dyDescent="0.3">
      <c r="A16" s="30" t="s">
        <v>65</v>
      </c>
      <c r="B16" s="30"/>
      <c r="C16" s="30"/>
      <c r="D16" s="30"/>
      <c r="E16" s="13"/>
      <c r="F16" s="13"/>
      <c r="G16" s="14"/>
      <c r="H16" s="14"/>
      <c r="I16" s="14"/>
      <c r="J16" s="14"/>
      <c r="K16" s="14"/>
      <c r="L16" s="14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7.25" customHeight="1" x14ac:dyDescent="0.3">
      <c r="A17" s="15"/>
      <c r="B17" s="15"/>
      <c r="C17" s="15"/>
      <c r="D17" s="15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7.25" customHeight="1" x14ac:dyDescent="0.3">
      <c r="A18" s="15"/>
      <c r="B18" s="15"/>
      <c r="C18" s="15"/>
      <c r="D18" s="15"/>
      <c r="E18" s="16"/>
      <c r="F18" s="16"/>
      <c r="G18" s="17"/>
      <c r="H18" s="17"/>
      <c r="I18" s="17"/>
      <c r="J18" s="17"/>
      <c r="K18" s="17"/>
      <c r="L18" s="17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7.25" customHeight="1" x14ac:dyDescent="0.3">
      <c r="A19" s="18" t="s">
        <v>66</v>
      </c>
      <c r="B19" s="29" t="s">
        <v>77</v>
      </c>
      <c r="C19" s="29"/>
      <c r="D19" s="29"/>
      <c r="E19" s="19"/>
      <c r="F19" s="19"/>
      <c r="G19" s="20"/>
      <c r="H19" s="20"/>
      <c r="I19" s="20"/>
      <c r="J19" s="20"/>
      <c r="K19" s="20"/>
      <c r="L19" s="20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7.25" customHeight="1" x14ac:dyDescent="0.3">
      <c r="A20" s="18" t="s">
        <v>67</v>
      </c>
      <c r="B20" s="29" t="s">
        <v>78</v>
      </c>
      <c r="C20" s="29"/>
      <c r="D20" s="29"/>
      <c r="E20" s="19"/>
      <c r="F20" s="19"/>
      <c r="G20" s="20"/>
      <c r="H20" s="20"/>
      <c r="I20" s="20"/>
      <c r="J20" s="20"/>
      <c r="K20" s="20"/>
      <c r="L20" s="20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7.25" customHeight="1" x14ac:dyDescent="0.3">
      <c r="A21" s="18" t="s">
        <v>68</v>
      </c>
      <c r="B21" s="21" t="s">
        <v>80</v>
      </c>
      <c r="C21" s="21"/>
      <c r="D21" s="21"/>
      <c r="E21" s="19"/>
      <c r="F21" s="19"/>
      <c r="G21" s="20"/>
      <c r="H21" s="20"/>
      <c r="I21" s="20"/>
      <c r="J21" s="20"/>
      <c r="K21" s="20"/>
      <c r="L21" s="20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7.25" customHeight="1" x14ac:dyDescent="0.3">
      <c r="A22" s="18"/>
      <c r="B22" s="21"/>
      <c r="C22" s="21"/>
      <c r="D22" s="21"/>
      <c r="E22" s="19"/>
      <c r="F22" s="19"/>
      <c r="G22" s="20"/>
      <c r="H22" s="20"/>
      <c r="I22" s="20"/>
      <c r="J22" s="20"/>
      <c r="K22" s="20"/>
      <c r="L22" s="20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7.25" customHeight="1" x14ac:dyDescent="0.3">
      <c r="A23" s="18" t="s">
        <v>69</v>
      </c>
      <c r="B23" s="29" t="s">
        <v>79</v>
      </c>
      <c r="C23" s="29"/>
      <c r="D23" s="29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7.25" customHeight="1" x14ac:dyDescent="0.3">
      <c r="A24" s="18"/>
      <c r="B24" s="21"/>
      <c r="C24" s="21"/>
      <c r="D24" s="21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7.25" customHeight="1" x14ac:dyDescent="0.3">
      <c r="A25" s="18"/>
      <c r="B25" s="21"/>
      <c r="C25" s="21"/>
      <c r="D25" s="21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7.25" customHeight="1" x14ac:dyDescent="0.3">
      <c r="A26" s="18" t="s">
        <v>70</v>
      </c>
      <c r="B26" s="29" t="s">
        <v>79</v>
      </c>
      <c r="C26" s="29"/>
      <c r="D26" s="29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7.25" customHeight="1" x14ac:dyDescent="0.3">
      <c r="A27" s="18"/>
      <c r="B27" s="21"/>
      <c r="C27" s="21"/>
      <c r="D27" s="21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7.25" customHeight="1" x14ac:dyDescent="0.3">
      <c r="A28" s="18"/>
      <c r="B28" s="21"/>
      <c r="C28" s="21"/>
      <c r="D28" s="21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7.25" customHeight="1" x14ac:dyDescent="0.3">
      <c r="A29" s="18" t="s">
        <v>71</v>
      </c>
      <c r="B29" s="22">
        <v>1</v>
      </c>
      <c r="C29" s="21"/>
      <c r="D29" s="21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7.25" customHeight="1" x14ac:dyDescent="0.3">
      <c r="A30" s="18" t="s">
        <v>72</v>
      </c>
      <c r="B30" s="31" t="s">
        <v>73</v>
      </c>
      <c r="C30" s="29"/>
      <c r="D30" s="29"/>
      <c r="E30" s="23"/>
      <c r="F30" s="23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7.25" customHeight="1" x14ac:dyDescent="0.3">
      <c r="A31" s="18" t="s">
        <v>74</v>
      </c>
      <c r="B31" s="29" t="s">
        <v>75</v>
      </c>
      <c r="C31" s="29"/>
      <c r="D31" s="29"/>
      <c r="E31" s="23"/>
      <c r="F31" s="23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7.25" customHeight="1" x14ac:dyDescent="0.3">
      <c r="A32" s="24"/>
      <c r="B32" s="25" t="s">
        <v>76</v>
      </c>
      <c r="C32" s="24"/>
      <c r="D32" s="24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x14ac:dyDescent="0.3">
      <c r="A33" s="11"/>
      <c r="B33" s="11"/>
      <c r="C33" s="11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x14ac:dyDescent="0.3">
      <c r="A34" s="11"/>
      <c r="B34" s="11"/>
      <c r="C34" s="11"/>
      <c r="D34" s="11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x14ac:dyDescent="0.3">
      <c r="A35" s="11"/>
      <c r="B35" s="11"/>
      <c r="C35" s="11"/>
      <c r="D35" s="11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x14ac:dyDescent="0.3">
      <c r="A36" s="11"/>
      <c r="B36" s="11"/>
      <c r="C36" s="11"/>
      <c r="D36" s="11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x14ac:dyDescent="0.3">
      <c r="A37" s="11"/>
      <c r="B37" s="11"/>
      <c r="C37" s="11"/>
      <c r="D37" s="11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x14ac:dyDescent="0.3">
      <c r="A38" s="11"/>
      <c r="B38" s="11"/>
      <c r="C38" s="11"/>
      <c r="D38" s="11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x14ac:dyDescent="0.3">
      <c r="A39" s="11"/>
      <c r="B39" s="11"/>
      <c r="C39" s="11"/>
      <c r="D39" s="11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x14ac:dyDescent="0.3">
      <c r="A40" s="11"/>
      <c r="B40" s="11"/>
      <c r="C40" s="11"/>
      <c r="D40" s="11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x14ac:dyDescent="0.3">
      <c r="A41" s="11"/>
      <c r="B41" s="11"/>
      <c r="C41" s="11"/>
      <c r="D41" s="11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x14ac:dyDescent="0.3">
      <c r="A42" s="11"/>
      <c r="B42" s="11"/>
      <c r="C42" s="11"/>
      <c r="D42" s="11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x14ac:dyDescent="0.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x14ac:dyDescent="0.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x14ac:dyDescent="0.3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x14ac:dyDescent="0.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x14ac:dyDescent="0.3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x14ac:dyDescent="0.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x14ac:dyDescent="0.3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x14ac:dyDescent="0.3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x14ac:dyDescent="0.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x14ac:dyDescent="0.3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x14ac:dyDescent="0.3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x14ac:dyDescent="0.3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x14ac:dyDescent="0.3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x14ac:dyDescent="0.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x14ac:dyDescent="0.3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x14ac:dyDescent="0.3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x14ac:dyDescent="0.3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x14ac:dyDescent="0.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x14ac:dyDescent="0.3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x14ac:dyDescent="0.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x14ac:dyDescent="0.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x14ac:dyDescent="0.3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x14ac:dyDescent="0.3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x14ac:dyDescent="0.3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x14ac:dyDescent="0.3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x14ac:dyDescent="0.3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x14ac:dyDescent="0.3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x14ac:dyDescent="0.3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x14ac:dyDescent="0.3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x14ac:dyDescent="0.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x14ac:dyDescent="0.3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x14ac:dyDescent="0.3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x14ac:dyDescent="0.3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x14ac:dyDescent="0.3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x14ac:dyDescent="0.3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x14ac:dyDescent="0.3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x14ac:dyDescent="0.3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x14ac:dyDescent="0.3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x14ac:dyDescent="0.3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x14ac:dyDescent="0.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x14ac:dyDescent="0.3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x14ac:dyDescent="0.3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x14ac:dyDescent="0.3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x14ac:dyDescent="0.3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x14ac:dyDescent="0.3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x14ac:dyDescent="0.3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1CEE63B2-BDCF-4EB6-A1B1-F680A139503F}"/>
    <hyperlink ref="B32" r:id="rId2" xr:uid="{B034561A-DFA3-4D47-B1D7-18312A7C8D0A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030FF-C503-4743-9DBD-437AEB1E949D}">
  <sheetPr codeName="Sheet8"/>
  <dimension ref="A3:AD37"/>
  <sheetViews>
    <sheetView zoomScaleNormal="100" workbookViewId="0">
      <selection activeCell="B7" sqref="B7"/>
    </sheetView>
  </sheetViews>
  <sheetFormatPr defaultColWidth="9.21875" defaultRowHeight="14.4" x14ac:dyDescent="0.3"/>
  <cols>
    <col min="1" max="1" width="12.21875" customWidth="1"/>
    <col min="2" max="2" width="11.77734375" customWidth="1"/>
    <col min="3" max="3" width="3.21875" bestFit="1" customWidth="1"/>
    <col min="4" max="4" width="8.5546875" bestFit="1" customWidth="1"/>
    <col min="5" max="5" width="6.44140625" bestFit="1" customWidth="1"/>
    <col min="6" max="6" width="4.77734375" bestFit="1" customWidth="1"/>
    <col min="7" max="8" width="5.77734375" bestFit="1" customWidth="1"/>
    <col min="9" max="9" width="5.44140625" bestFit="1" customWidth="1"/>
    <col min="10" max="11" width="5.77734375" bestFit="1" customWidth="1"/>
    <col min="12" max="12" width="6.5546875" bestFit="1" customWidth="1"/>
    <col min="13" max="13" width="6.21875" bestFit="1" customWidth="1"/>
    <col min="14" max="14" width="6.77734375" bestFit="1" customWidth="1"/>
    <col min="15" max="15" width="6.5546875" bestFit="1" customWidth="1"/>
    <col min="16" max="16" width="7.21875" bestFit="1" customWidth="1"/>
    <col min="17" max="17" width="5.77734375" bestFit="1" customWidth="1"/>
    <col min="18" max="18" width="6.21875" bestFit="1" customWidth="1"/>
    <col min="19" max="19" width="5.77734375" bestFit="1" customWidth="1"/>
    <col min="20" max="20" width="5.5546875" bestFit="1" customWidth="1"/>
    <col min="21" max="21" width="5.77734375" bestFit="1" customWidth="1"/>
    <col min="22" max="22" width="6.77734375" bestFit="1" customWidth="1"/>
    <col min="23" max="23" width="4.77734375" bestFit="1" customWidth="1"/>
    <col min="24" max="24" width="7.5546875" customWidth="1"/>
    <col min="25" max="25" width="6.77734375" bestFit="1" customWidth="1"/>
    <col min="26" max="26" width="6.21875" bestFit="1" customWidth="1"/>
    <col min="27" max="28" width="6" bestFit="1" customWidth="1"/>
    <col min="29" max="29" width="5.77734375" bestFit="1" customWidth="1"/>
    <col min="30" max="30" width="6.77734375" bestFit="1" customWidth="1"/>
  </cols>
  <sheetData>
    <row r="3" spans="1:30" x14ac:dyDescent="0.3">
      <c r="C3" s="1" t="str" cm="1">
        <f t="array" ref="C3">IF(LEFT(INDEX(C5:C7,$A$4),1)&lt;&gt;"*",INDEX(C5:C7,$A$4),"")</f>
        <v>IE</v>
      </c>
      <c r="D3" s="1" t="str" cm="1">
        <f t="array" ref="D3">IF(LEFT(INDEX(D5:D7,$A$4),1)&lt;&gt;"*",INDEX(D5:D7,$A$4),"")</f>
        <v>National</v>
      </c>
      <c r="E3" s="1" t="str" cm="1">
        <f t="array" ref="E3">IF(LEFT(INDEX(E5:E7,$A$4),1)&lt;&gt;"*",INDEX(E5:E7,$A$4),"")</f>
        <v>IE-CW</v>
      </c>
      <c r="F3" s="1" t="str" cm="1">
        <f t="array" ref="F3">IF(LEFT(INDEX(F5:F7,$A$4),1)&lt;&gt;"*",INDEX(F5:F7,$A$4),"")</f>
        <v>IE-D</v>
      </c>
      <c r="G3" s="1" t="str" cm="1">
        <f t="array" ref="G3">IF(LEFT(INDEX(G5:G7,$A$4),1)&lt;&gt;"*",INDEX(G5:G7,$A$4),"")</f>
        <v>IE-KE</v>
      </c>
      <c r="H3" s="1" t="str" cm="1">
        <f t="array" ref="H3">IF(LEFT(INDEX(H5:H7,$A$4),1)&lt;&gt;"*",INDEX(H5:H7,$A$4),"")</f>
        <v>IE-KK</v>
      </c>
      <c r="I3" s="1" t="str" cm="1">
        <f t="array" ref="I3">IF(LEFT(INDEX(I5:I7,$A$4),1)&lt;&gt;"*",INDEX(I5:I7,$A$4),"")</f>
        <v>IE-LS</v>
      </c>
      <c r="J3" s="1" t="str" cm="1">
        <f t="array" ref="J3">IF(LEFT(INDEX(J5:J7,$A$4),1)&lt;&gt;"*",INDEX(J5:J7,$A$4),"")</f>
        <v>IE-LD</v>
      </c>
      <c r="K3" s="1" t="str" cm="1">
        <f t="array" ref="K3">IF(LEFT(INDEX(K5:K7,$A$4),1)&lt;&gt;"*",INDEX(K5:K7,$A$4),"")</f>
        <v>IE-LH</v>
      </c>
      <c r="L3" s="1" t="str" cm="1">
        <f t="array" ref="L3">IF(LEFT(INDEX(L5:L7,$A$4),1)&lt;&gt;"*",INDEX(L5:L7,$A$4),"")</f>
        <v>IE-MH</v>
      </c>
      <c r="M3" s="1" t="str" cm="1">
        <f t="array" ref="M3">IF(LEFT(INDEX(M5:M7,$A$4),1)&lt;&gt;"*",INDEX(M5:M7,$A$4),"")</f>
        <v>IE-OY</v>
      </c>
      <c r="N3" s="1" t="str" cm="1">
        <f t="array" ref="N3">IF(LEFT(INDEX(N5:N7,$A$4),1)&lt;&gt;"*",INDEX(N5:N7,$A$4),"")</f>
        <v>IE-WH</v>
      </c>
      <c r="O3" s="1" t="str" cm="1">
        <f t="array" ref="O3">IF(LEFT(INDEX(O5:O7,$A$4),1)&lt;&gt;"*",INDEX(O5:O7,$A$4),"")</f>
        <v>IE-WX</v>
      </c>
      <c r="P3" s="1" t="str" cm="1">
        <f t="array" ref="P3">IF(LEFT(INDEX(P5:P7,$A$4),1)&lt;&gt;"*",INDEX(P5:P7,$A$4),"")</f>
        <v>IE-WW</v>
      </c>
      <c r="Q3" s="1" t="str" cm="1">
        <f t="array" ref="Q3">IF(LEFT(INDEX(Q5:Q7,$A$4),1)&lt;&gt;"*",INDEX(Q5:Q7,$A$4),"")</f>
        <v>IE-CE</v>
      </c>
      <c r="R3" s="1" t="str" cm="1">
        <f t="array" ref="R3">IF(LEFT(INDEX(R5:R7,$A$4),1)&lt;&gt;"*",INDEX(R5:R7,$A$4),"")</f>
        <v>IE-CO</v>
      </c>
      <c r="S3" s="1" t="str" cm="1">
        <f t="array" ref="S3">IF(LEFT(INDEX(S5:S7,$A$4),1)&lt;&gt;"*",INDEX(S5:S7,$A$4),"")</f>
        <v>IE-KY</v>
      </c>
      <c r="T3" s="1" t="str" cm="1">
        <f t="array" ref="T3">IF(LEFT(INDEX(T5:T7,$A$4),1)&lt;&gt;"*",INDEX(T5:T7,$A$4),"")</f>
        <v>IE-LK</v>
      </c>
      <c r="U3" s="1" t="str" cm="1">
        <f t="array" ref="U3">IF(LEFT(INDEX(U5:U7,$A$4),1)&lt;&gt;"*",INDEX(U5:U7,$A$4),"")</f>
        <v>IE-TA</v>
      </c>
      <c r="V3" s="1" t="str" cm="1">
        <f t="array" ref="V3">IF(LEFT(INDEX(V5:V7,$A$4),1)&lt;&gt;"*",INDEX(V5:V7,$A$4),"")</f>
        <v>IE-WD</v>
      </c>
      <c r="W3" s="1" t="str" cm="1">
        <f t="array" ref="W3">IF(LEFT(INDEX(W5:W7,$A$4),1)&lt;&gt;"*",INDEX(W5:W7,$A$4),"")</f>
        <v>IE-G</v>
      </c>
      <c r="X3" s="1" t="str" cm="1">
        <f t="array" ref="X3">IF(LEFT(INDEX(X5:X7,$A$4),1)&lt;&gt;"*",INDEX(X5:X7,$A$4),"")</f>
        <v>IE-LM</v>
      </c>
      <c r="Y3" s="1" t="str" cm="1">
        <f t="array" ref="Y3">IF(LEFT(INDEX(Y5:Y7,$A$4),1)&lt;&gt;"*",INDEX(Y5:Y7,$A$4),"")</f>
        <v>IE-MO</v>
      </c>
      <c r="Z3" s="1" t="str" cm="1">
        <f t="array" ref="Z3">IF(LEFT(INDEX(Z5:Z7,$A$4),1)&lt;&gt;"*",INDEX(Z5:Z7,$A$4),"")</f>
        <v>IE-RN</v>
      </c>
      <c r="AA3" s="1" t="str" cm="1">
        <f t="array" ref="AA3">IF(LEFT(INDEX(AA5:AA7,$A$4),1)&lt;&gt;"*",INDEX(AA5:AA7,$A$4),"")</f>
        <v>IE-SO</v>
      </c>
      <c r="AB3" s="1" t="str" cm="1">
        <f t="array" ref="AB3">IF(LEFT(INDEX(AB5:AB7,$A$4),1)&lt;&gt;"*",INDEX(AB5:AB7,$A$4),"")</f>
        <v>IE-CN</v>
      </c>
      <c r="AC3" s="1" t="str" cm="1">
        <f t="array" ref="AC3">IF(LEFT(INDEX(AC5:AC7,$A$4),1)&lt;&gt;"*",INDEX(AC5:AC7,$A$4),"")</f>
        <v>IE-DL</v>
      </c>
      <c r="AD3" s="1" t="str" cm="1">
        <f t="array" ref="AD3">IF(LEFT(INDEX(AD5:AD7,$A$4),1)&lt;&gt;"*",INDEX(AD5:AD7,$A$4),"")</f>
        <v>IE-MN</v>
      </c>
    </row>
    <row r="4" spans="1:30" x14ac:dyDescent="0.3">
      <c r="A4">
        <v>1</v>
      </c>
    </row>
    <row r="5" spans="1:30" x14ac:dyDescent="0.3">
      <c r="A5" t="s">
        <v>27</v>
      </c>
      <c r="C5" s="2" t="s">
        <v>28</v>
      </c>
      <c r="D5" s="2" t="s">
        <v>29</v>
      </c>
      <c r="E5" s="1" t="str">
        <f>Regions!A11</f>
        <v>IE-CW</v>
      </c>
      <c r="F5" s="1" t="str">
        <f>Regions!A16</f>
        <v>IE-D</v>
      </c>
      <c r="G5" s="1" t="str">
        <f>Regions!A19</f>
        <v>IE-KE</v>
      </c>
      <c r="H5" s="1" t="str">
        <f>Regions!A20</f>
        <v>IE-KK</v>
      </c>
      <c r="I5" s="1" t="str">
        <f>Regions!A21</f>
        <v>IE-LS</v>
      </c>
      <c r="J5" s="1" t="str">
        <f>Regions!A24</f>
        <v>IE-LD</v>
      </c>
      <c r="K5" s="1" t="str">
        <f>Regions!A25</f>
        <v>IE-LH</v>
      </c>
      <c r="L5" s="1" t="str">
        <f>Regions!A27</f>
        <v>IE-MH</v>
      </c>
      <c r="M5" s="1" t="str">
        <f>Regions!A29</f>
        <v>IE-OY</v>
      </c>
      <c r="N5" s="1" t="str">
        <f>Regions!A34</f>
        <v>IE-WH</v>
      </c>
      <c r="O5" s="1" t="str">
        <f>Regions!A35</f>
        <v>IE-WX</v>
      </c>
      <c r="P5" s="1" t="str">
        <f>Regions!A36</f>
        <v>IE-WW</v>
      </c>
      <c r="Q5" s="1" t="str">
        <f>Regions!A13</f>
        <v>IE-CE</v>
      </c>
      <c r="R5" s="1" t="str">
        <f>Regions!A14</f>
        <v>IE-CO</v>
      </c>
      <c r="S5" s="1" t="str">
        <f>Regions!A18</f>
        <v>IE-KY</v>
      </c>
      <c r="T5" s="1" t="str">
        <f>Regions!A23</f>
        <v>IE-LK</v>
      </c>
      <c r="U5" s="1" t="str">
        <f>Regions!A32</f>
        <v>IE-TA</v>
      </c>
      <c r="V5" s="1" t="str">
        <f>Regions!A33</f>
        <v>IE-WD</v>
      </c>
      <c r="W5" s="1" t="str">
        <f>Regions!A17</f>
        <v>IE-G</v>
      </c>
      <c r="X5" s="1" t="str">
        <f>Regions!A22</f>
        <v>IE-LM</v>
      </c>
      <c r="Y5" s="1" t="str">
        <f>Regions!A26</f>
        <v>IE-MO</v>
      </c>
      <c r="Z5" s="1" t="str">
        <f>Regions!A30</f>
        <v>IE-RN</v>
      </c>
      <c r="AA5" s="1" t="str">
        <f>Regions!A31</f>
        <v>IE-SO</v>
      </c>
      <c r="AB5" s="1" t="str">
        <f>Regions!A12</f>
        <v>IE-CN</v>
      </c>
      <c r="AC5" s="1" t="str">
        <f>Regions!A15</f>
        <v>IE-DL</v>
      </c>
      <c r="AD5" s="1" t="str">
        <f>Regions!A28</f>
        <v>IE-MN</v>
      </c>
    </row>
    <row r="6" spans="1:30" x14ac:dyDescent="0.3">
      <c r="A6" t="s">
        <v>30</v>
      </c>
      <c r="C6" s="1" t="str">
        <f>C5</f>
        <v>IE</v>
      </c>
      <c r="D6" s="1" t="str">
        <f>IF(LEFT(D5,1)&lt;&gt;"*","*"&amp;D5,D5)</f>
        <v>*National</v>
      </c>
      <c r="E6" s="1" t="str">
        <f t="shared" ref="E6:AD6" si="0">IF(LEFT(E5,1)&lt;&gt;"*","*"&amp;E5,E5)</f>
        <v>*IE-CW</v>
      </c>
      <c r="F6" s="1" t="str">
        <f t="shared" si="0"/>
        <v>*IE-D</v>
      </c>
      <c r="G6" s="1" t="str">
        <f t="shared" si="0"/>
        <v>*IE-KE</v>
      </c>
      <c r="H6" s="1" t="str">
        <f t="shared" si="0"/>
        <v>*IE-KK</v>
      </c>
      <c r="I6" s="1" t="str">
        <f t="shared" si="0"/>
        <v>*IE-LS</v>
      </c>
      <c r="J6" s="1" t="str">
        <f t="shared" si="0"/>
        <v>*IE-LD</v>
      </c>
      <c r="K6" s="1" t="str">
        <f t="shared" si="0"/>
        <v>*IE-LH</v>
      </c>
      <c r="L6" s="1" t="str">
        <f t="shared" si="0"/>
        <v>*IE-MH</v>
      </c>
      <c r="M6" s="1" t="str">
        <f t="shared" si="0"/>
        <v>*IE-OY</v>
      </c>
      <c r="N6" s="1" t="str">
        <f t="shared" si="0"/>
        <v>*IE-WH</v>
      </c>
      <c r="O6" s="1" t="str">
        <f t="shared" si="0"/>
        <v>*IE-WX</v>
      </c>
      <c r="P6" s="1" t="str">
        <f t="shared" si="0"/>
        <v>*IE-WW</v>
      </c>
      <c r="Q6" s="1" t="str">
        <f t="shared" si="0"/>
        <v>*IE-CE</v>
      </c>
      <c r="R6" s="1" t="str">
        <f t="shared" si="0"/>
        <v>*IE-CO</v>
      </c>
      <c r="S6" s="1" t="str">
        <f t="shared" si="0"/>
        <v>*IE-KY</v>
      </c>
      <c r="T6" s="1" t="str">
        <f t="shared" si="0"/>
        <v>*IE-LK</v>
      </c>
      <c r="U6" s="1" t="str">
        <f t="shared" si="0"/>
        <v>*IE-TA</v>
      </c>
      <c r="V6" s="1" t="str">
        <f t="shared" si="0"/>
        <v>*IE-WD</v>
      </c>
      <c r="W6" s="1" t="str">
        <f t="shared" si="0"/>
        <v>*IE-G</v>
      </c>
      <c r="X6" s="1" t="str">
        <f t="shared" si="0"/>
        <v>*IE-LM</v>
      </c>
      <c r="Y6" s="1" t="str">
        <f t="shared" si="0"/>
        <v>*IE-MO</v>
      </c>
      <c r="Z6" s="1" t="str">
        <f t="shared" si="0"/>
        <v>*IE-RN</v>
      </c>
      <c r="AA6" s="1" t="str">
        <f t="shared" si="0"/>
        <v>*IE-SO</v>
      </c>
      <c r="AB6" s="1" t="str">
        <f t="shared" si="0"/>
        <v>*IE-CN</v>
      </c>
      <c r="AC6" s="1" t="str">
        <f t="shared" si="0"/>
        <v>*IE-DL</v>
      </c>
      <c r="AD6" s="1" t="str">
        <f t="shared" si="0"/>
        <v>*IE-MN</v>
      </c>
    </row>
    <row r="7" spans="1:30" x14ac:dyDescent="0.3">
      <c r="A7" t="s">
        <v>31</v>
      </c>
      <c r="C7" s="1" t="str">
        <f>"*"&amp;C5</f>
        <v>*IE</v>
      </c>
      <c r="D7" s="1" t="str">
        <f>D5</f>
        <v>National</v>
      </c>
      <c r="E7" s="1" t="str">
        <f t="shared" ref="E7:AD7" si="1">E5</f>
        <v>IE-CW</v>
      </c>
      <c r="F7" s="1" t="str">
        <f t="shared" si="1"/>
        <v>IE-D</v>
      </c>
      <c r="G7" s="1" t="str">
        <f t="shared" si="1"/>
        <v>IE-KE</v>
      </c>
      <c r="H7" s="1" t="str">
        <f t="shared" si="1"/>
        <v>IE-KK</v>
      </c>
      <c r="I7" s="1" t="str">
        <f t="shared" si="1"/>
        <v>IE-LS</v>
      </c>
      <c r="J7" s="1" t="str">
        <f t="shared" si="1"/>
        <v>IE-LD</v>
      </c>
      <c r="K7" s="1" t="str">
        <f t="shared" si="1"/>
        <v>IE-LH</v>
      </c>
      <c r="L7" s="1" t="str">
        <f t="shared" si="1"/>
        <v>IE-MH</v>
      </c>
      <c r="M7" s="1" t="str">
        <f t="shared" si="1"/>
        <v>IE-OY</v>
      </c>
      <c r="N7" s="1" t="str">
        <f t="shared" si="1"/>
        <v>IE-WH</v>
      </c>
      <c r="O7" s="1" t="str">
        <f t="shared" si="1"/>
        <v>IE-WX</v>
      </c>
      <c r="P7" s="1" t="str">
        <f t="shared" si="1"/>
        <v>IE-WW</v>
      </c>
      <c r="Q7" s="1" t="str">
        <f t="shared" si="1"/>
        <v>IE-CE</v>
      </c>
      <c r="R7" s="1" t="str">
        <f t="shared" si="1"/>
        <v>IE-CO</v>
      </c>
      <c r="S7" s="1" t="str">
        <f t="shared" si="1"/>
        <v>IE-KY</v>
      </c>
      <c r="T7" s="1" t="str">
        <f t="shared" si="1"/>
        <v>IE-LK</v>
      </c>
      <c r="U7" s="1" t="str">
        <f t="shared" si="1"/>
        <v>IE-TA</v>
      </c>
      <c r="V7" s="1" t="str">
        <f t="shared" si="1"/>
        <v>IE-WD</v>
      </c>
      <c r="W7" s="1" t="str">
        <f t="shared" si="1"/>
        <v>IE-G</v>
      </c>
      <c r="X7" s="1" t="str">
        <f t="shared" si="1"/>
        <v>IE-LM</v>
      </c>
      <c r="Y7" s="1" t="str">
        <f t="shared" si="1"/>
        <v>IE-MO</v>
      </c>
      <c r="Z7" s="1" t="str">
        <f t="shared" si="1"/>
        <v>IE-RN</v>
      </c>
      <c r="AA7" s="1" t="str">
        <f t="shared" si="1"/>
        <v>IE-SO</v>
      </c>
      <c r="AB7" s="1" t="str">
        <f t="shared" si="1"/>
        <v>IE-CN</v>
      </c>
      <c r="AC7" s="1" t="str">
        <f t="shared" si="1"/>
        <v>IE-DL</v>
      </c>
      <c r="AD7" s="1" t="str">
        <f t="shared" si="1"/>
        <v>IE-MN</v>
      </c>
    </row>
    <row r="10" spans="1:30" ht="15" thickBot="1" x14ac:dyDescent="0.35">
      <c r="A10" s="3" t="s">
        <v>32</v>
      </c>
      <c r="B10" s="3" t="s">
        <v>33</v>
      </c>
    </row>
    <row r="11" spans="1:30" x14ac:dyDescent="0.3">
      <c r="A11" s="4" t="s">
        <v>34</v>
      </c>
      <c r="B11" s="4" t="s">
        <v>26</v>
      </c>
    </row>
    <row r="12" spans="1:30" x14ac:dyDescent="0.3">
      <c r="A12" s="5" t="s">
        <v>35</v>
      </c>
      <c r="B12" s="5" t="s">
        <v>25</v>
      </c>
    </row>
    <row r="13" spans="1:30" x14ac:dyDescent="0.3">
      <c r="A13" s="5" t="s">
        <v>36</v>
      </c>
      <c r="B13" s="5" t="s">
        <v>24</v>
      </c>
    </row>
    <row r="14" spans="1:30" x14ac:dyDescent="0.3">
      <c r="A14" s="5" t="s">
        <v>37</v>
      </c>
      <c r="B14" s="5" t="s">
        <v>23</v>
      </c>
    </row>
    <row r="15" spans="1:30" x14ac:dyDescent="0.3">
      <c r="A15" s="5" t="s">
        <v>38</v>
      </c>
      <c r="B15" s="5" t="s">
        <v>22</v>
      </c>
    </row>
    <row r="16" spans="1:30" x14ac:dyDescent="0.3">
      <c r="A16" s="5" t="s">
        <v>39</v>
      </c>
      <c r="B16" s="5" t="s">
        <v>21</v>
      </c>
    </row>
    <row r="17" spans="1:2" x14ac:dyDescent="0.3">
      <c r="A17" s="5" t="s">
        <v>40</v>
      </c>
      <c r="B17" s="5" t="s">
        <v>20</v>
      </c>
    </row>
    <row r="18" spans="1:2" x14ac:dyDescent="0.3">
      <c r="A18" s="5" t="s">
        <v>41</v>
      </c>
      <c r="B18" s="5" t="s">
        <v>19</v>
      </c>
    </row>
    <row r="19" spans="1:2" x14ac:dyDescent="0.3">
      <c r="A19" s="5" t="s">
        <v>42</v>
      </c>
      <c r="B19" s="5" t="s">
        <v>18</v>
      </c>
    </row>
    <row r="20" spans="1:2" x14ac:dyDescent="0.3">
      <c r="A20" s="5" t="s">
        <v>43</v>
      </c>
      <c r="B20" s="5" t="s">
        <v>17</v>
      </c>
    </row>
    <row r="21" spans="1:2" x14ac:dyDescent="0.3">
      <c r="A21" s="5" t="s">
        <v>44</v>
      </c>
      <c r="B21" s="5" t="s">
        <v>16</v>
      </c>
    </row>
    <row r="22" spans="1:2" x14ac:dyDescent="0.3">
      <c r="A22" s="5" t="s">
        <v>45</v>
      </c>
      <c r="B22" s="5" t="s">
        <v>15</v>
      </c>
    </row>
    <row r="23" spans="1:2" x14ac:dyDescent="0.3">
      <c r="A23" s="5" t="s">
        <v>46</v>
      </c>
      <c r="B23" s="5" t="s">
        <v>14</v>
      </c>
    </row>
    <row r="24" spans="1:2" x14ac:dyDescent="0.3">
      <c r="A24" s="5" t="s">
        <v>47</v>
      </c>
      <c r="B24" s="5" t="s">
        <v>13</v>
      </c>
    </row>
    <row r="25" spans="1:2" x14ac:dyDescent="0.3">
      <c r="A25" s="5" t="s">
        <v>48</v>
      </c>
      <c r="B25" s="5" t="s">
        <v>12</v>
      </c>
    </row>
    <row r="26" spans="1:2" x14ac:dyDescent="0.3">
      <c r="A26" s="5" t="s">
        <v>49</v>
      </c>
      <c r="B26" s="5" t="s">
        <v>11</v>
      </c>
    </row>
    <row r="27" spans="1:2" x14ac:dyDescent="0.3">
      <c r="A27" s="5" t="s">
        <v>50</v>
      </c>
      <c r="B27" s="5" t="s">
        <v>10</v>
      </c>
    </row>
    <row r="28" spans="1:2" x14ac:dyDescent="0.3">
      <c r="A28" s="5" t="s">
        <v>51</v>
      </c>
      <c r="B28" s="5" t="s">
        <v>9</v>
      </c>
    </row>
    <row r="29" spans="1:2" x14ac:dyDescent="0.3">
      <c r="A29" s="5" t="s">
        <v>52</v>
      </c>
      <c r="B29" s="5" t="s">
        <v>8</v>
      </c>
    </row>
    <row r="30" spans="1:2" x14ac:dyDescent="0.3">
      <c r="A30" s="5" t="s">
        <v>53</v>
      </c>
      <c r="B30" s="5" t="s">
        <v>7</v>
      </c>
    </row>
    <row r="31" spans="1:2" x14ac:dyDescent="0.3">
      <c r="A31" s="5" t="s">
        <v>54</v>
      </c>
      <c r="B31" s="5" t="s">
        <v>6</v>
      </c>
    </row>
    <row r="32" spans="1:2" x14ac:dyDescent="0.3">
      <c r="A32" s="5" t="s">
        <v>55</v>
      </c>
      <c r="B32" s="5" t="s">
        <v>5</v>
      </c>
    </row>
    <row r="33" spans="1:2" x14ac:dyDescent="0.3">
      <c r="A33" s="5" t="s">
        <v>56</v>
      </c>
      <c r="B33" s="5" t="s">
        <v>4</v>
      </c>
    </row>
    <row r="34" spans="1:2" x14ac:dyDescent="0.3">
      <c r="A34" s="5" t="s">
        <v>57</v>
      </c>
      <c r="B34" s="5" t="s">
        <v>3</v>
      </c>
    </row>
    <row r="35" spans="1:2" x14ac:dyDescent="0.3">
      <c r="A35" s="5" t="s">
        <v>58</v>
      </c>
      <c r="B35" s="5" t="s">
        <v>2</v>
      </c>
    </row>
    <row r="36" spans="1:2" x14ac:dyDescent="0.3">
      <c r="A36" s="5" t="s">
        <v>59</v>
      </c>
      <c r="B36" s="5" t="s">
        <v>1</v>
      </c>
    </row>
    <row r="37" spans="1:2" x14ac:dyDescent="0.3">
      <c r="A37" s="6" t="s">
        <v>60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22860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941A8-04BF-45E8-9F60-D4E07475AB4A}">
  <sheetPr codeName="Sheet1"/>
  <dimension ref="B2:J48"/>
  <sheetViews>
    <sheetView workbookViewId="0">
      <selection activeCell="L12" sqref="L12"/>
    </sheetView>
  </sheetViews>
  <sheetFormatPr defaultColWidth="9.21875" defaultRowHeight="14.4" x14ac:dyDescent="0.3"/>
  <cols>
    <col min="2" max="2" width="14.5546875" bestFit="1" customWidth="1"/>
    <col min="3" max="3" width="30.21875" bestFit="1" customWidth="1"/>
    <col min="4" max="4" width="28" bestFit="1" customWidth="1"/>
    <col min="9" max="9" width="18.77734375" bestFit="1" customWidth="1"/>
    <col min="13" max="13" width="10.5546875" bestFit="1" customWidth="1"/>
    <col min="14" max="14" width="12" bestFit="1" customWidth="1"/>
  </cols>
  <sheetData>
    <row r="2" spans="2:10" x14ac:dyDescent="0.3">
      <c r="B2" t="s">
        <v>86</v>
      </c>
    </row>
    <row r="3" spans="2:10" x14ac:dyDescent="0.3">
      <c r="B3">
        <v>4</v>
      </c>
    </row>
    <row r="6" spans="2:10" x14ac:dyDescent="0.3">
      <c r="H6" t="s">
        <v>64</v>
      </c>
      <c r="I6" t="s">
        <v>81</v>
      </c>
      <c r="J6" t="s">
        <v>87</v>
      </c>
    </row>
    <row r="7" spans="2:10" x14ac:dyDescent="0.3">
      <c r="H7">
        <v>1</v>
      </c>
      <c r="I7" s="27">
        <v>1.2</v>
      </c>
      <c r="J7" s="27">
        <f>1+(I7-1)*0.75</f>
        <v>1.1499999999999999</v>
      </c>
    </row>
    <row r="8" spans="2:10" x14ac:dyDescent="0.3">
      <c r="H8">
        <v>2</v>
      </c>
      <c r="I8" s="27">
        <v>1.3</v>
      </c>
      <c r="J8" s="27">
        <f t="shared" ref="J8:J12" si="0">1+(I8-1)*0.75</f>
        <v>1.2250000000000001</v>
      </c>
    </row>
    <row r="9" spans="2:10" x14ac:dyDescent="0.3">
      <c r="H9">
        <v>3</v>
      </c>
      <c r="I9" s="27">
        <v>1.4</v>
      </c>
      <c r="J9" s="27">
        <f t="shared" si="0"/>
        <v>1.2999999999999998</v>
      </c>
    </row>
    <row r="10" spans="2:10" x14ac:dyDescent="0.3">
      <c r="H10">
        <v>4</v>
      </c>
      <c r="I10" s="27">
        <v>1.5</v>
      </c>
      <c r="J10" s="27">
        <f t="shared" si="0"/>
        <v>1.375</v>
      </c>
    </row>
    <row r="11" spans="2:10" x14ac:dyDescent="0.3">
      <c r="H11">
        <v>5</v>
      </c>
      <c r="I11" s="27">
        <v>1.6</v>
      </c>
      <c r="J11" s="27">
        <f t="shared" si="0"/>
        <v>1.4500000000000002</v>
      </c>
    </row>
    <row r="12" spans="2:10" x14ac:dyDescent="0.3">
      <c r="H12">
        <v>6</v>
      </c>
      <c r="I12" s="27">
        <v>2</v>
      </c>
      <c r="J12" s="27">
        <f t="shared" si="0"/>
        <v>1.75</v>
      </c>
    </row>
    <row r="23" spans="10:10" x14ac:dyDescent="0.3">
      <c r="J23" s="10"/>
    </row>
    <row r="24" spans="10:10" x14ac:dyDescent="0.3">
      <c r="J24" s="10"/>
    </row>
    <row r="25" spans="10:10" x14ac:dyDescent="0.3">
      <c r="J25" s="10"/>
    </row>
    <row r="26" spans="10:10" x14ac:dyDescent="0.3">
      <c r="J26" s="10"/>
    </row>
    <row r="27" spans="10:10" x14ac:dyDescent="0.3">
      <c r="J27" s="10"/>
    </row>
    <row r="28" spans="10:10" x14ac:dyDescent="0.3">
      <c r="J28" s="10"/>
    </row>
    <row r="29" spans="10:10" x14ac:dyDescent="0.3">
      <c r="J29" s="10"/>
    </row>
    <row r="30" spans="10:10" x14ac:dyDescent="0.3">
      <c r="J30" s="10"/>
    </row>
    <row r="31" spans="10:10" x14ac:dyDescent="0.3">
      <c r="J31" s="10"/>
    </row>
    <row r="32" spans="10:10" x14ac:dyDescent="0.3">
      <c r="J32" s="10"/>
    </row>
    <row r="34" spans="10:10" x14ac:dyDescent="0.3">
      <c r="J34" s="10"/>
    </row>
    <row r="35" spans="10:10" x14ac:dyDescent="0.3">
      <c r="J35" s="10"/>
    </row>
    <row r="36" spans="10:10" x14ac:dyDescent="0.3">
      <c r="J36" s="10"/>
    </row>
    <row r="37" spans="10:10" x14ac:dyDescent="0.3">
      <c r="J37" s="10"/>
    </row>
    <row r="38" spans="10:10" x14ac:dyDescent="0.3">
      <c r="J38" s="10"/>
    </row>
    <row r="39" spans="10:10" x14ac:dyDescent="0.3">
      <c r="J39" s="10"/>
    </row>
    <row r="40" spans="10:10" x14ac:dyDescent="0.3">
      <c r="J40" s="10"/>
    </row>
    <row r="41" spans="10:10" x14ac:dyDescent="0.3">
      <c r="J41" s="10"/>
    </row>
    <row r="42" spans="10:10" x14ac:dyDescent="0.3">
      <c r="J42" s="10"/>
    </row>
    <row r="43" spans="10:10" x14ac:dyDescent="0.3">
      <c r="J43" s="10"/>
    </row>
    <row r="44" spans="10:10" x14ac:dyDescent="0.3">
      <c r="J44" s="10"/>
    </row>
    <row r="45" spans="10:10" x14ac:dyDescent="0.3">
      <c r="J45" s="10"/>
    </row>
    <row r="46" spans="10:10" x14ac:dyDescent="0.3">
      <c r="J46" s="10"/>
    </row>
    <row r="47" spans="10:10" x14ac:dyDescent="0.3">
      <c r="J47" s="10"/>
    </row>
    <row r="48" spans="10:10" x14ac:dyDescent="0.3">
      <c r="J48" s="10"/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14F01-B0DB-448B-9217-DEB90E2D1CCA}">
  <sheetPr codeName="Sheet4"/>
  <dimension ref="B2:AM10"/>
  <sheetViews>
    <sheetView tabSelected="1" workbookViewId="0">
      <selection activeCell="D5" sqref="D5"/>
    </sheetView>
  </sheetViews>
  <sheetFormatPr defaultRowHeight="14.4" x14ac:dyDescent="0.3"/>
  <cols>
    <col min="2" max="2" width="10.21875" bestFit="1" customWidth="1"/>
    <col min="4" max="4" width="13.77734375" bestFit="1" customWidth="1"/>
    <col min="5" max="5" width="10" customWidth="1"/>
    <col min="6" max="6" width="10.21875" bestFit="1" customWidth="1"/>
  </cols>
  <sheetData>
    <row r="2" spans="2:39" x14ac:dyDescent="0.3">
      <c r="B2" s="8" t="s">
        <v>82</v>
      </c>
    </row>
    <row r="3" spans="2:39" ht="15" thickBot="1" x14ac:dyDescent="0.35">
      <c r="B3" s="9" t="s">
        <v>62</v>
      </c>
      <c r="C3" s="9" t="s">
        <v>0</v>
      </c>
      <c r="D3" s="9" t="s">
        <v>63</v>
      </c>
      <c r="E3" s="9" t="s">
        <v>85</v>
      </c>
      <c r="F3" s="9" t="s">
        <v>61</v>
      </c>
      <c r="G3" s="28" t="s">
        <v>83</v>
      </c>
      <c r="AM3">
        <v>2050</v>
      </c>
    </row>
    <row r="4" spans="2:39" x14ac:dyDescent="0.3">
      <c r="C4" s="7"/>
      <c r="D4" t="s">
        <v>84</v>
      </c>
      <c r="E4" t="s">
        <v>88</v>
      </c>
      <c r="G4" s="26" t="s">
        <v>89</v>
      </c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2:39" x14ac:dyDescent="0.3"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10" spans="2:39" x14ac:dyDescent="0.3">
      <c r="B10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Regions</vt:lpstr>
      <vt:lpstr>config</vt:lpstr>
      <vt:lpstr>H2price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Emma Dillon</cp:lastModifiedBy>
  <dcterms:created xsi:type="dcterms:W3CDTF">2009-05-27T15:40:55Z</dcterms:created>
  <dcterms:modified xsi:type="dcterms:W3CDTF">2026-10-21T16:31:53Z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527377903461456</vt:r8>
  </property>
</Properties>
</file>