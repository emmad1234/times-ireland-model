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e46c55b5fc2ded/Documents/Git/times-ireland-model/SuppXLS/"/>
    </mc:Choice>
  </mc:AlternateContent>
  <xr:revisionPtr revIDLastSave="0" documentId="8_{78434D9D-78A7-4BD7-9045-4DAD8F079ED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24" r:id="rId1"/>
    <sheet name="Regions" sheetId="15" r:id="rId2"/>
    <sheet name="config" sheetId="20" r:id="rId3"/>
    <sheet name="H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V7" i="15"/>
  <c r="U7" i="15"/>
  <c r="T7" i="15"/>
  <c r="S7" i="15"/>
  <c r="R6" i="15"/>
  <c r="P6" i="15"/>
  <c r="O3" i="15" a="1"/>
  <c r="N7" i="15"/>
  <c r="M7" i="15"/>
  <c r="L7" i="15"/>
  <c r="K7" i="15"/>
  <c r="J6" i="15"/>
  <c r="H6" i="15"/>
  <c r="G3" i="15" a="1"/>
  <c r="F7" i="15"/>
  <c r="E7" i="15"/>
  <c r="AD3" i="15" a="1"/>
  <c r="AB3" i="15" a="1"/>
  <c r="AA3" i="15" a="1"/>
  <c r="X3" i="15" a="1"/>
  <c r="V3" i="15" a="1"/>
  <c r="Q3" i="15" a="1"/>
  <c r="P3" i="15" a="1"/>
  <c r="H3" i="15" a="1"/>
  <c r="D3" i="15" a="1"/>
  <c r="C3" i="15" a="1"/>
  <c r="I3" i="15" a="1"/>
  <c r="Y3" i="15" a="1"/>
  <c r="J3" i="15" a="1"/>
  <c r="K3" i="15" a="1"/>
  <c r="T3" i="15" a="1"/>
  <c r="E3" i="15" a="1"/>
  <c r="N3" i="15" a="1"/>
  <c r="R3" i="15" a="1"/>
  <c r="S3" i="15" a="1"/>
  <c r="F3" i="15" a="1"/>
  <c r="Z3" i="15" a="1"/>
  <c r="I6" i="15"/>
  <c r="K6" i="15"/>
  <c r="Q6" i="15"/>
  <c r="S6" i="15"/>
  <c r="Y6" i="15"/>
  <c r="AA6" i="15"/>
  <c r="L3" i="15" a="1"/>
  <c r="M3" i="15" a="1"/>
  <c r="G7" i="15"/>
  <c r="O7" i="15"/>
  <c r="W7" i="15"/>
  <c r="L6" i="15"/>
  <c r="T6" i="15"/>
  <c r="AB6" i="15"/>
  <c r="H7" i="15"/>
  <c r="P7" i="15"/>
  <c r="X7" i="15"/>
  <c r="AC3" i="15" a="1"/>
  <c r="E6" i="15"/>
  <c r="M6" i="15"/>
  <c r="U6" i="15"/>
  <c r="AC6" i="15"/>
  <c r="U3" i="15" a="1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<sst xmlns="http://schemas.openxmlformats.org/spreadsheetml/2006/main" count="91" uniqueCount="90">
  <si>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</si>
  <si>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</si>
  <si>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</si>
  <si>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</si>
  <si>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</si>
  <si>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</si>
  <si>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</si>
  <si>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</si>
  <si>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</si>
  <si>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</si>
  <si>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</si>
  <si>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</si>
  <si>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</si>
  <si>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</si>
  <si>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</si>
  <si>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</si>
  <si>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</si>
  <si>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</si>
  <si>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</si>
  <si>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</si>
  <si>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</si>
  <si>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</si>
  <si>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</si>
  <si>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</si>
  <si>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</si>
  <si>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</si>
  <si>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</si>
  <si>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</si>
  <si>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</si>
  <si>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</si>
  <si>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</si>
  <si>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</si>
  <si>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</si>
  <si>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</si>
  <si>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</si>
  <si>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</si>
  <si>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</si>
  <si>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</si>
  <si>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</si>
  <si>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</si>
  <si>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</si>
  <si>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</si>
  <si>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</si>
  <si>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</si>
  <si>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</si>
  <si>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</si>
  <si>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</si>
  <si>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</si>
  <si>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</si>
  <si>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</si>
  <si>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</si>
  <si>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</si>
  <si>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</si>
  <si>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</si>
  <si>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</si>
  <si>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</si>
  <si>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</si>
  <si>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</si>
  <si>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</si>
  <si>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</si>
  <si>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</si>
  <si>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</si>
  <si>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</si>
  <si>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</si>
  <si>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</si>
  <si>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</si>
  <si>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</si>
  <si>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</si>
  <si>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</si>
  <si>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</si>
  <si>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</si>
  <si>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</si>
  <si>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</si>
  <si>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</si>
  <si>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</si>
  <si>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</si>
  <si>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</si>
  <si>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</si>
  <si>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</si>
  <si>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</si>
  <si>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</si>
  <si>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</si>
  <si>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</si>
  <si>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</si>
  <si>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</si>
  <si>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AllRegions</t>
  </si>
  <si>
    <t>~InputCell:1,4</t>
  </si>
  <si>
    <t>ELC, BIO</t>
  </si>
  <si>
    <t>IMPH2G*</t>
  </si>
  <si>
    <t>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</si>
</sst>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77734375" defaultRowHeight="14.4" x14ac:dyDescent="0.3"/>
  <cols>
    <col min="1" max="4" width="21.77734375" customWidth="1"/>
    <col min="5" max="6" width="14.21875" customWidth="1"/>
    <col min="7" max="7" width="12.21875" customWidth="1"/>
    <col min="8" max="10" width="8.21875" customWidth="1"/>
    <col min="11" max="11" width="9.77734375" customWidth="1"/>
    <col min="12" max="12" width="8.218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21875" defaultRowHeight="14.4" x14ac:dyDescent="0.3"/>
  <cols>
    <col min="1" max="1" width="12.21875" customWidth="1"/>
    <col min="2" max="2" width="11.77734375" customWidth="1"/>
    <col min="3" max="3" width="3.21875" bestFit="1" customWidth="1"/>
    <col min="4" max="4" width="8.5546875" bestFit="1" customWidth="1"/>
    <col min="5" max="5" width="6.44140625" bestFit="1" customWidth="1"/>
    <col min="6" max="6" width="4.77734375" bestFit="1" customWidth="1"/>
    <col min="7" max="8" width="5.77734375" bestFit="1" customWidth="1"/>
    <col min="9" max="9" width="5.44140625" bestFit="1" customWidth="1"/>
    <col min="10" max="11" width="5.77734375" bestFit="1" customWidth="1"/>
    <col min="12" max="12" width="6.5546875" bestFit="1" customWidth="1"/>
    <col min="13" max="13" width="6.218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21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218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21875" defaultRowHeight="14.4" x14ac:dyDescent="0.3"/>
  <cols>
    <col min="2" max="2" width="14.5546875" bestFit="1" customWidth="1"/>
    <col min="3" max="3" width="30.21875" bestFit="1" customWidth="1"/>
    <col min="4" max="4" width="28" bestFit="1" customWidth="1"/>
    <col min="9" max="9" width="18.77734375" bestFit="1" customWidth="1"/>
    <col min="13" max="13" width="10.5546875" bestFit="1" customWidth="1"/>
    <col min="14" max="14" width="12" bestFit="1" customWidth="1"/>
  </cols>
  <sheetData>
    <row r="2" spans="2:10" x14ac:dyDescent="0.3">
      <c r="B2" t="s">
        <v>86</v>
      </c>
    </row>
    <row r="3" spans="2:10" x14ac:dyDescent="0.3">
      <c r="B3">
        <v>4</v>
      </c>
    </row>
    <row r="6" spans="2:10" x14ac:dyDescent="0.3">
      <c r="H6" t="s">
        <v>64</v>
      </c>
      <c r="I6" t="s">
        <v>81</v>
      </c>
      <c r="J6" t="s">
        <v>87</v>
      </c>
    </row>
    <row r="7" spans="2:10" x14ac:dyDescent="0.3">
      <c r="H7">
        <v>1</v>
      </c>
      <c r="I7" s="27">
        <v>1.2</v>
      </c>
      <c r="J7" s="27">
        <f>1+(I7-1)*0.75</f>
        <v>1.1499999999999999</v>
      </c>
    </row>
    <row r="8" spans="2:10" x14ac:dyDescent="0.3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">
      <c r="H9">
        <v>3</v>
      </c>
      <c r="I9" s="27">
        <v>1.4</v>
      </c>
      <c r="J9" s="27">
        <f t="shared" si="0"/>
        <v>1.2999999999999998</v>
      </c>
    </row>
    <row r="10" spans="2:10" x14ac:dyDescent="0.3">
      <c r="H10">
        <v>4</v>
      </c>
      <c r="I10" s="27">
        <v>1.5</v>
      </c>
      <c r="J10" s="27">
        <f t="shared" si="0"/>
        <v>1.375</v>
      </c>
    </row>
    <row r="11" spans="2:10" x14ac:dyDescent="0.3">
      <c r="H11">
        <v>5</v>
      </c>
      <c r="I11" s="27">
        <v>1.6</v>
      </c>
      <c r="J11" s="27">
        <f t="shared" si="0"/>
        <v>1.4500000000000002</v>
      </c>
    </row>
    <row r="12" spans="2:10" x14ac:dyDescent="0.3">
      <c r="H12">
        <v>6</v>
      </c>
      <c r="I12" s="27">
        <v>2</v>
      </c>
      <c r="J12" s="27">
        <f t="shared" si="0"/>
        <v>1.75</v>
      </c>
    </row>
    <row r="23" spans="10:10" x14ac:dyDescent="0.3">
      <c r="J23" s="10"/>
    </row>
    <row r="24" spans="10:10" x14ac:dyDescent="0.3">
      <c r="J24" s="10"/>
    </row>
    <row r="25" spans="10:10" x14ac:dyDescent="0.3">
      <c r="J25" s="10"/>
    </row>
    <row r="26" spans="10:10" x14ac:dyDescent="0.3">
      <c r="J26" s="10"/>
    </row>
    <row r="27" spans="10:10" x14ac:dyDescent="0.3">
      <c r="J27" s="10"/>
    </row>
    <row r="28" spans="10:10" x14ac:dyDescent="0.3">
      <c r="J28" s="10"/>
    </row>
    <row r="29" spans="10:10" x14ac:dyDescent="0.3">
      <c r="J29" s="10"/>
    </row>
    <row r="30" spans="10:10" x14ac:dyDescent="0.3">
      <c r="J30" s="10"/>
    </row>
    <row r="31" spans="10:10" x14ac:dyDescent="0.3">
      <c r="J31" s="10"/>
    </row>
    <row r="32" spans="10:10" x14ac:dyDescent="0.3">
      <c r="J32" s="10"/>
    </row>
    <row r="34" spans="10:10" x14ac:dyDescent="0.3">
      <c r="J34" s="10"/>
    </row>
    <row r="35" spans="10:10" x14ac:dyDescent="0.3">
      <c r="J35" s="10"/>
    </row>
    <row r="36" spans="10:10" x14ac:dyDescent="0.3">
      <c r="J36" s="10"/>
    </row>
    <row r="37" spans="10:10" x14ac:dyDescent="0.3">
      <c r="J37" s="10"/>
    </row>
    <row r="38" spans="10:10" x14ac:dyDescent="0.3">
      <c r="J38" s="10"/>
    </row>
    <row r="39" spans="10:10" x14ac:dyDescent="0.3">
      <c r="J39" s="10"/>
    </row>
    <row r="40" spans="10:10" x14ac:dyDescent="0.3">
      <c r="J40" s="10"/>
    </row>
    <row r="41" spans="10:10" x14ac:dyDescent="0.3">
      <c r="J41" s="10"/>
    </row>
    <row r="42" spans="10:10" x14ac:dyDescent="0.3">
      <c r="J42" s="10"/>
    </row>
    <row r="43" spans="10:10" x14ac:dyDescent="0.3">
      <c r="J43" s="10"/>
    </row>
    <row r="44" spans="10:10" x14ac:dyDescent="0.3">
      <c r="J44" s="10"/>
    </row>
    <row r="45" spans="10:10" x14ac:dyDescent="0.3">
      <c r="J45" s="10"/>
    </row>
    <row r="46" spans="10:10" x14ac:dyDescent="0.3">
      <c r="J46" s="10"/>
    </row>
    <row r="47" spans="10:10" x14ac:dyDescent="0.3">
      <c r="J47" s="10"/>
    </row>
    <row r="48" spans="10:10" x14ac:dyDescent="0.3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D14" sqref="D14"/>
    </sheetView>
  </sheetViews>
  <sheetFormatPr defaultRowHeight="14.4" x14ac:dyDescent="0.3"/>
  <cols>
    <col min="2" max="2" width="10.21875" bestFit="1" customWidth="1"/>
    <col min="4" max="4" width="13.77734375" bestFit="1" customWidth="1"/>
    <col min="5" max="5" width="10" customWidth="1"/>
    <col min="6" max="6" width="10.21875" bestFit="1" customWidth="1"/>
  </cols>
  <sheetData>
    <row r="2" spans="2:39" x14ac:dyDescent="0.3">
      <c r="B2" s="8" t="s">
        <v>82</v>
      </c>
    </row>
    <row r="3" spans="2:39" ht="15" thickBot="1" x14ac:dyDescent="0.35">
      <c r="B3" s="9" t="s">
        <v>62</v>
      </c>
      <c r="C3" s="9" t="s">
        <v>0</v>
      </c>
      <c r="D3" s="9" t="s">
        <v>63</v>
      </c>
      <c r="E3" s="9" t="s">
        <v>85</v>
      </c>
      <c r="F3" s="9" t="s">
        <v>61</v>
      </c>
      <c r="G3" s="28" t="s">
        <v>83</v>
      </c>
      <c r="AM3">
        <v>2050</v>
      </c>
    </row>
    <row r="4" spans="2:39" x14ac:dyDescent="0.3">
      <c r="C4" s="7"/>
      <c r="D4" t="s">
        <v>84</v>
      </c>
      <c r="E4" t="s">
        <v>89</v>
      </c>
      <c r="G4" s="26" t="s">
        <v>88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H2price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Emma Dillon</cp:lastModifiedBy>
  <dcterms:created xsi:type="dcterms:W3CDTF">2009-05-27T15:40:55Z</dcterms:created>
  <dcterms:modified xsi:type="dcterms:W3CDTF">2026-10-21T15:49:35Z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