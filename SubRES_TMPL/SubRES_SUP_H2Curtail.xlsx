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H2_Cur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<sst xmlns="http://schemas.openxmlformats.org/spreadsheetml/2006/main" count="109" uniqueCount="92">
  <si>
    <t xml:space="preserve">TIMES-Ireland Model</t>
  </si>
  <si>
    <t xml:space="preserve">Document type:</t>
  </si>
  <si>
    <t xml:space="preserve">New Technologies</t>
  </si>
  <si>
    <t xml:space="preserve">Sector(s):</t>
  </si>
  <si>
    <t xml:space="preserve">Supply sector (SUP) / Power sector (PWR)</t>
  </si>
  <si>
    <t xml:space="preserve">Purpose:</t>
  </si>
  <si>
    <t xml:space="preserve">Route curtailed (surplus) electricity to a dedicated electrolyser so that all curtailment is converted to green hydrogen</t>
  </si>
  <si>
    <t xml:space="preserve">Original developer(s):</t>
  </si>
  <si>
    <t xml:space="preserve">Emma Dillon (thesis: Modelling green hydrogen pathways to decarbonise Ireland's electricity system)</t>
  </si>
  <si>
    <t xml:space="preserve">Current maintainer(s):</t>
  </si>
  <si>
    <t xml:space="preserve">Emma Dillon</t>
  </si>
  <si>
    <t xml:space="preserve">Part of TIM version:</t>
  </si>
  <si>
    <t xml:space="preserve">1</t>
  </si>
  <si>
    <t xml:space="preserve">Model repository:</t>
  </si>
  <si>
    <t xml:space="preserve">https://github.com/MaREI-EPMG/TIMES-Ireland-model</t>
  </si>
  <si>
    <t xml:space="preserve">Licence:</t>
  </si>
  <si>
    <t xml:space="preserve">CC BY-NC-SA 4.0 (unless specified otherwise)</t>
  </si>
  <si>
    <t xml:space="preserve">https://creativecommons.org/licenses/by-nc-sa/4.0/</t>
  </si>
  <si>
    <t xml:space="preserve">Curtailed electricity to green hydrogen</t>
  </si>
  <si>
    <t xml:space="preserve">ELCC (surplus) -&gt; P-CURT -&gt; ELCCUR -&gt; SH2PCELC_CUR -&gt; SUPH2GC. ELCCUR LimType FX = all curtailed electricity MUST be electrolysed (use LO for 'up to all').</t>
  </si>
  <si>
    <t xml:space="preserve">Use together with Scen_PWR_RES_MustRun (renewables FX) and ELCC LimType = FX in VT_IE_PWR &gt; Commodities &gt; J21. Electrolyser data = placeholders; keep identical to SH2PCELC_01 in SubRES_SUP_Hydrogen.</t>
  </si>
  <si>
    <t xml:space="preserve">~FI_Comm</t>
  </si>
  <si>
    <t xml:space="preserve">Csets</t>
  </si>
  <si>
    <t xml:space="preserve">CommName</t>
  </si>
  <si>
    <t xml:space="preserve">CommDesc</t>
  </si>
  <si>
    <t xml:space="preserve">Unit</t>
  </si>
  <si>
    <t xml:space="preserve">LimType</t>
  </si>
  <si>
    <t xml:space="preserve">CTSLvl</t>
  </si>
  <si>
    <t xml:space="preserve">PeakTS</t>
  </si>
  <si>
    <t xml:space="preserve">Ctype</t>
  </si>
  <si>
    <t xml:space="preserve">*Commodity set</t>
  </si>
  <si>
    <t xml:space="preserve">Commodity name</t>
  </si>
  <si>
    <t xml:space="preserve">Description</t>
  </si>
  <si>
    <t xml:space="preserve">Balance type</t>
  </si>
  <si>
    <t xml:space="preserve">Timeslice level</t>
  </si>
  <si>
    <t xml:space="preserve">NRG</t>
  </si>
  <si>
    <t xml:space="preserve">ELCCUR</t>
  </si>
  <si>
    <t xml:space="preserve">Curtailed renewable electricity</t>
  </si>
  <si>
    <t xml:space="preserve">PJ</t>
  </si>
  <si>
    <t xml:space="preserve">FX</t>
  </si>
  <si>
    <t xml:space="preserve">DAYNITE</t>
  </si>
  <si>
    <t xml:space="preserve">~FI_Process</t>
  </si>
  <si>
    <t xml:space="preserve">Sets</t>
  </si>
  <si>
    <t xml:space="preserve">TechName</t>
  </si>
  <si>
    <t xml:space="preserve">TechDesc</t>
  </si>
  <si>
    <t xml:space="preserve">Tact</t>
  </si>
  <si>
    <t xml:space="preserve">Tcap</t>
  </si>
  <si>
    <t xml:space="preserve">Tslvl</t>
  </si>
  <si>
    <t xml:space="preserve">PrimaryCG</t>
  </si>
  <si>
    <t xml:space="preserve">Vintage</t>
  </si>
  <si>
    <t xml:space="preserve">*Process set</t>
  </si>
  <si>
    <t xml:space="preserve">Technology name</t>
  </si>
  <si>
    <t xml:space="preserve">Activity unit</t>
  </si>
  <si>
    <t xml:space="preserve">Capacity unit</t>
  </si>
  <si>
    <t xml:space="preserve">Primary commodity group</t>
  </si>
  <si>
    <t xml:space="preserve">Vintage tracking</t>
  </si>
  <si>
    <t xml:space="preserve">PRE</t>
  </si>
  <si>
    <t xml:space="preserve">P-CURT</t>
  </si>
  <si>
    <t xml:space="preserve">Surplus electricity diverted to curtailment</t>
  </si>
  <si>
    <t xml:space="preserve">PJa</t>
  </si>
  <si>
    <t xml:space="preserve">SH2PCELC_CUR</t>
  </si>
  <si>
    <t xml:space="preserve">Hydrogen production - electrolysis on curtailed electricity</t>
  </si>
  <si>
    <t xml:space="preserve">YES</t>
  </si>
  <si>
    <t xml:space="preserve">~FI_T</t>
  </si>
  <si>
    <t xml:space="preserve">*TechDesc</t>
  </si>
  <si>
    <t xml:space="preserve">Comm-IN</t>
  </si>
  <si>
    <t xml:space="preserve">Comm-OUT</t>
  </si>
  <si>
    <t xml:space="preserve">START</t>
  </si>
  <si>
    <t xml:space="preserve">LIFE</t>
  </si>
  <si>
    <t xml:space="preserve">CAP2ACT</t>
  </si>
  <si>
    <t xml:space="preserve">EFF~2025</t>
  </si>
  <si>
    <t xml:space="preserve">EFF~2050</t>
  </si>
  <si>
    <t xml:space="preserve">NCAP_COST~2025</t>
  </si>
  <si>
    <t xml:space="preserve">NCAP_COST~2030</t>
  </si>
  <si>
    <t xml:space="preserve">NCAP_COST~2040</t>
  </si>
  <si>
    <t xml:space="preserve">NCAP_COST~2050</t>
  </si>
  <si>
    <t xml:space="preserve">NCAP_FOM~2025</t>
  </si>
  <si>
    <t xml:space="preserve">NCAP_FOM~2050</t>
  </si>
  <si>
    <t xml:space="preserve">CURR</t>
  </si>
  <si>
    <t xml:space="preserve">*Technology name</t>
  </si>
  <si>
    <t xml:space="preserve">Input</t>
  </si>
  <si>
    <t xml:space="preserve">Output</t>
  </si>
  <si>
    <t xml:space="preserve">Year</t>
  </si>
  <si>
    <t xml:space="preserve">Years</t>
  </si>
  <si>
    <t xml:space="preserve">PJ/PJa</t>
  </si>
  <si>
    <t xml:space="preserve">H2 out / elec in</t>
  </si>
  <si>
    <t xml:space="preserve">M€/PJa H2 (= €/kWe / eff / 31.536)</t>
  </si>
  <si>
    <t xml:space="preserve">M€/PJa/yr (3% of capex)</t>
  </si>
  <si>
    <t xml:space="preserve">ELCC</t>
  </si>
  <si>
    <t xml:space="preserve">SUPH2GC</t>
  </si>
  <si>
    <t xml:space="preserve">MEUR2024</t>
  </si>
  <si>
    <t xml:space="preserve">*Assumptions: capex 2000/1500/1000/750 €2024/kWe (2025/30/40/50), efficiency 0.65-&gt;0.74 LHV, FOM 3%/yr. PLACEHOLDERS - replace with cited source (e.g. IEA Global Hydrogen Review, DEA Technology Catalogue).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</si>
</sst>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6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6" customFormat="false" ht="17.35" hidden="false" customHeight="false" outlineLevel="0" collapsed="false">
      <c r="A16" s="1" t="s">
        <v>0</v>
      </c>
    </row>
    <row r="19" customFormat="false" ht="15" hidden="false" customHeight="false" outlineLevel="0" collapsed="false">
      <c r="A19" s="2" t="s">
        <v>1</v>
      </c>
      <c r="B19" s="3" t="s">
        <v>2</v>
      </c>
    </row>
    <row r="20" customFormat="false" ht="15" hidden="false" customHeight="false" outlineLevel="0" collapsed="false">
      <c r="A20" s="2" t="s">
        <v>3</v>
      </c>
      <c r="B20" s="3" t="s">
        <v>4</v>
      </c>
    </row>
    <row r="21" customFormat="false" ht="15" hidden="false" customHeight="false" outlineLevel="0" collapsed="false">
      <c r="A21" s="2" t="s">
        <v>5</v>
      </c>
      <c r="B21" s="3" t="s">
        <v>6</v>
      </c>
    </row>
    <row r="23" customFormat="false" ht="15" hidden="false" customHeight="false" outlineLevel="0" collapsed="false">
      <c r="A23" s="2" t="s">
        <v>7</v>
      </c>
      <c r="B23" s="3" t="s">
        <v>8</v>
      </c>
    </row>
    <row r="26" customFormat="false" ht="15" hidden="false" customHeight="false" outlineLevel="0" collapsed="false">
      <c r="A26" s="2" t="s">
        <v>9</v>
      </c>
      <c r="B26" s="3" t="s">
        <v>10</v>
      </c>
    </row>
    <row r="29" customFormat="false" ht="15" hidden="false" customHeight="false" outlineLevel="0" collapsed="false">
      <c r="A29" s="2" t="s">
        <v>11</v>
      </c>
      <c r="B29" s="3" t="s">
        <v>12</v>
      </c>
    </row>
    <row r="30" customFormat="false" ht="15" hidden="false" customHeight="false" outlineLevel="0" collapsed="false">
      <c r="A30" s="2" t="s">
        <v>13</v>
      </c>
      <c r="B30" s="3" t="s">
        <v>14</v>
      </c>
    </row>
    <row r="31" customFormat="false" ht="15" hidden="false" customHeight="false" outlineLevel="0" collapsed="false">
      <c r="A31" s="2" t="s">
        <v>15</v>
      </c>
      <c r="B31" s="3" t="s">
        <v>16</v>
      </c>
    </row>
    <row r="32" customFormat="false" ht="15" hidden="false" customHeight="false" outlineLevel="0" collapsed="false">
      <c r="B3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3" min="10" style="0" width="16"/>
    <col collapsed="false" customWidth="true" hidden="false" outlineLevel="0" max="15" min="14" style="0" width="14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4" t="s">
        <v>18</v>
      </c>
    </row>
    <row r="2" customFormat="false" ht="15" hidden="false" customHeight="false" outlineLevel="0" collapsed="false">
      <c r="A2" s="0" t="s">
        <v>19</v>
      </c>
    </row>
    <row r="3" customFormat="false" ht="15" hidden="false" customHeight="false" outlineLevel="0" collapsed="false">
      <c r="A3" s="0" t="s">
        <v>20</v>
      </c>
    </row>
    <row r="5" customFormat="false" ht="15" hidden="false" customHeight="false" outlineLevel="0" collapsed="false">
      <c r="A5" s="5" t="s">
        <v>21</v>
      </c>
    </row>
    <row r="6" customFormat="false" ht="15" hidden="false" customHeight="false" outlineLevel="0" collapsed="false">
      <c r="A6" s="6" t="s">
        <v>22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6" t="s">
        <v>29</v>
      </c>
    </row>
    <row r="7" customFormat="false" ht="15" hidden="false" customHeight="false" outlineLevel="0" collapsed="false">
      <c r="A7" s="7" t="s">
        <v>30</v>
      </c>
      <c r="B7" s="7" t="s">
        <v>31</v>
      </c>
      <c r="C7" s="7" t="s">
        <v>32</v>
      </c>
      <c r="D7" s="7" t="s">
        <v>25</v>
      </c>
      <c r="E7" s="7" t="s">
        <v>33</v>
      </c>
      <c r="F7" s="7" t="s">
        <v>34</v>
      </c>
      <c r="G7" s="7"/>
      <c r="H7" s="7"/>
    </row>
    <row r="8" customFormat="false" ht="15" hidden="false" customHeight="false" outlineLevel="0" collapsed="false">
      <c r="A8" s="0" t="s">
        <v>35</v>
      </c>
      <c r="B8" s="0" t="s">
        <v>36</v>
      </c>
      <c r="C8" s="0" t="s">
        <v>37</v>
      </c>
      <c r="D8" s="0" t="s">
        <v>38</v>
      </c>
      <c r="E8" s="0" t="s">
        <v>39</v>
      </c>
      <c r="F8" s="0" t="s">
        <v>40</v>
      </c>
    </row>
    <row r="11" customFormat="false" ht="15" hidden="false" customHeight="false" outlineLevel="0" collapsed="false">
      <c r="A11" s="5" t="s">
        <v>41</v>
      </c>
    </row>
    <row r="12" customFormat="false" ht="15" hidden="false" customHeight="false" outlineLevel="0" collapsed="false">
      <c r="A12" s="6" t="s">
        <v>42</v>
      </c>
      <c r="B12" s="6" t="s">
        <v>43</v>
      </c>
      <c r="C12" s="6" t="s">
        <v>44</v>
      </c>
      <c r="D12" s="6" t="s">
        <v>45</v>
      </c>
      <c r="E12" s="6" t="s">
        <v>46</v>
      </c>
      <c r="F12" s="6" t="s">
        <v>47</v>
      </c>
      <c r="G12" s="6" t="s">
        <v>48</v>
      </c>
      <c r="H12" s="6" t="s">
        <v>49</v>
      </c>
    </row>
    <row r="13" customFormat="false" ht="15" hidden="false" customHeight="false" outlineLevel="0" collapsed="false">
      <c r="A13" s="7" t="s">
        <v>50</v>
      </c>
      <c r="B13" s="7" t="s">
        <v>51</v>
      </c>
      <c r="C13" s="7" t="s">
        <v>32</v>
      </c>
      <c r="D13" s="7" t="s">
        <v>52</v>
      </c>
      <c r="E13" s="7" t="s">
        <v>53</v>
      </c>
      <c r="F13" s="7" t="s">
        <v>34</v>
      </c>
      <c r="G13" s="7" t="s">
        <v>54</v>
      </c>
      <c r="H13" s="7" t="s">
        <v>55</v>
      </c>
    </row>
    <row r="14" customFormat="false" ht="15" hidden="false" customHeight="false" outlineLevel="0" collapsed="false">
      <c r="A14" s="0" t="s">
        <v>56</v>
      </c>
      <c r="B14" s="0" t="s">
        <v>57</v>
      </c>
      <c r="C14" s="0" t="s">
        <v>58</v>
      </c>
      <c r="D14" s="0" t="s">
        <v>38</v>
      </c>
      <c r="E14" s="0" t="s">
        <v>59</v>
      </c>
      <c r="F14" s="0" t="s">
        <v>40</v>
      </c>
    </row>
    <row r="15" customFormat="false" ht="15" hidden="false" customHeight="false" outlineLevel="0" collapsed="false">
      <c r="A15" s="0" t="s">
        <v>56</v>
      </c>
      <c r="B15" s="0" t="s">
        <v>60</v>
      </c>
      <c r="C15" s="0" t="s">
        <v>61</v>
      </c>
      <c r="D15" s="0" t="s">
        <v>38</v>
      </c>
      <c r="E15" s="0" t="s">
        <v>59</v>
      </c>
      <c r="F15" s="0" t="s">
        <v>40</v>
      </c>
      <c r="H15" s="0" t="s">
        <v>62</v>
      </c>
    </row>
    <row r="18" customFormat="false" ht="15" hidden="false" customHeight="false" outlineLevel="0" collapsed="false">
      <c r="A18" s="5" t="s">
        <v>63</v>
      </c>
    </row>
    <row r="19" customFormat="false" ht="15" hidden="false" customHeight="false" outlineLevel="0" collapsed="false">
      <c r="A19" s="6" t="s">
        <v>43</v>
      </c>
      <c r="B19" s="6" t="s">
        <v>64</v>
      </c>
      <c r="C19" s="6" t="s">
        <v>65</v>
      </c>
      <c r="D19" s="6" t="s">
        <v>66</v>
      </c>
      <c r="E19" s="6" t="s">
        <v>67</v>
      </c>
      <c r="F19" s="6" t="s">
        <v>68</v>
      </c>
      <c r="G19" s="6" t="s">
        <v>69</v>
      </c>
      <c r="H19" s="6" t="s">
        <v>70</v>
      </c>
      <c r="I19" s="6" t="s">
        <v>71</v>
      </c>
      <c r="J19" s="6" t="s">
        <v>72</v>
      </c>
      <c r="K19" s="6" t="s">
        <v>73</v>
      </c>
      <c r="L19" s="6" t="s">
        <v>74</v>
      </c>
      <c r="M19" s="6" t="s">
        <v>75</v>
      </c>
      <c r="N19" s="6" t="s">
        <v>76</v>
      </c>
      <c r="O19" s="6" t="s">
        <v>77</v>
      </c>
      <c r="P19" s="6" t="s">
        <v>78</v>
      </c>
    </row>
    <row r="20" customFormat="false" ht="15" hidden="false" customHeight="false" outlineLevel="0" collapsed="false">
      <c r="A20" s="7" t="s">
        <v>79</v>
      </c>
      <c r="B20" s="7" t="s">
        <v>32</v>
      </c>
      <c r="C20" s="7" t="s">
        <v>80</v>
      </c>
      <c r="D20" s="7" t="s">
        <v>81</v>
      </c>
      <c r="E20" s="7" t="s">
        <v>82</v>
      </c>
      <c r="F20" s="7" t="s">
        <v>83</v>
      </c>
      <c r="G20" s="7" t="s">
        <v>84</v>
      </c>
      <c r="H20" s="7" t="s">
        <v>85</v>
      </c>
      <c r="I20" s="7"/>
      <c r="J20" s="7" t="s">
        <v>86</v>
      </c>
      <c r="K20" s="7"/>
      <c r="L20" s="7"/>
      <c r="M20" s="7"/>
      <c r="N20" s="7" t="s">
        <v>87</v>
      </c>
      <c r="O20" s="7"/>
      <c r="P20" s="7"/>
    </row>
    <row r="21" customFormat="false" ht="15" hidden="false" customHeight="false" outlineLevel="0" collapsed="false">
      <c r="A21" s="0" t="s">
        <v>57</v>
      </c>
      <c r="B21" s="0" t="s">
        <v>58</v>
      </c>
      <c r="C21" s="0" t="s">
        <v>88</v>
      </c>
      <c r="D21" s="0" t="s">
        <v>36</v>
      </c>
      <c r="E21" s="0" t="n">
        <v>2018</v>
      </c>
      <c r="F21" s="0" t="n">
        <v>100</v>
      </c>
      <c r="H21" s="0" t="n">
        <v>1</v>
      </c>
      <c r="I21" s="0" t="n">
        <v>1</v>
      </c>
    </row>
    <row r="22" customFormat="false" ht="15" hidden="false" customHeight="false" outlineLevel="0" collapsed="false">
      <c r="A22" s="0" t="s">
        <v>60</v>
      </c>
      <c r="B22" s="0" t="s">
        <v>61</v>
      </c>
      <c r="C22" s="0" t="s">
        <v>36</v>
      </c>
      <c r="D22" s="0" t="s">
        <v>89</v>
      </c>
      <c r="E22" s="0" t="n">
        <v>2025</v>
      </c>
      <c r="F22" s="0" t="n">
        <v>25</v>
      </c>
      <c r="G22" s="0" t="n">
        <v>1</v>
      </c>
      <c r="H22" s="0" t="n">
        <v>0.65</v>
      </c>
      <c r="I22" s="0" t="n">
        <v>0.74</v>
      </c>
      <c r="J22" s="0" t="n">
        <f aca="false">2000/0.65/31.536</f>
        <v>97.5685907192756</v>
      </c>
      <c r="K22" s="0" t="n">
        <f aca="false">1500/0.67/31.536</f>
        <v>70.9920716054431</v>
      </c>
      <c r="L22" s="0" t="n">
        <f aca="false">1000/0.71/31.536</f>
        <v>44.6616788503727</v>
      </c>
      <c r="M22" s="0" t="n">
        <f aca="false">750/0.74/31.536</f>
        <v>32.1383026862479</v>
      </c>
      <c r="N22" s="0" t="n">
        <f aca="false">J22*0.03</f>
        <v>2.92705772157827</v>
      </c>
      <c r="O22" s="0" t="n">
        <f aca="false">M22*0.03</f>
        <v>0.964149080587437</v>
      </c>
      <c r="P22" s="0" t="s">
        <v>90</v>
      </c>
    </row>
    <row r="24" customFormat="false" ht="15" hidden="false" customHeight="false" outlineLevel="0" collapsed="false">
      <c r="A24" s="8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2026-10-27T19:09:37Z</dcterms:created>
  <dc:creator>openpyxl</dc:creator>
  <dc:description/>
  <dc:language>en-US</dc:language>
  <cp:lastModifiedBy/>
  <dcterms:modified xsi:type="dcterms:W3CDTF">2026-10-27T19:09:37Z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