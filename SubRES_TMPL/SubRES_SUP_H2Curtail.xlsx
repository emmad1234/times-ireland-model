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4ee46c55b5fc2ded/Documents/Git/times-ireland-model/SubRES_TMPL/"/>
    </mc:Choice>
  </mc:AlternateContent>
  <xr:revisionPtr revIDLastSave="2" documentId="11_A0FD15746F48DF4BB508E4200278219BDFDA83E4" xr6:coauthVersionLast="47" xr6:coauthVersionMax="47" xr10:uidLastSave="{C51B0715-C279-4355-B1F1-E821DB6523E5}"/>
  <bookViews>
    <workbookView xWindow="-108" yWindow="-108" windowWidth="23256" windowHeight="13896" activeTab="1" xr2:uid="{00000000-000D-0000-FFFF-FFFF00000000}"/>
  </bookViews>
  <sheets>
    <sheet name="Cover" sheetId="1" r:id="rId1"/>
    <sheet name="H2_Curtai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2" i="2" l="1"/>
  <c r="O22" i="2" s="1"/>
  <c r="L22" i="2"/>
  <c r="K22" i="2"/>
  <c r="J22" i="2"/>
  <c r="N22" i="2" s="1"/>
</calcChain>
</file>

<file path=xl/sharedStrings.xml><?xml version="1.0" encoding="utf-8"?>
<sst xmlns="http://schemas.openxmlformats.org/spreadsheetml/2006/main" count="118" uniqueCount="94">
  <si>
    <t>TIMES-Ireland Model</t>
  </si>
  <si>
    <t>Document type:</t>
  </si>
  <si>
    <t>New Technologies</t>
  </si>
  <si>
    <t>Sector(s):</t>
  </si>
  <si>
    <t>Supply sector (SUP) / Power sector (PWR)</t>
  </si>
  <si>
    <t>Purpose:</t>
  </si>
  <si>
    <t>Route curtailed (surplus) electricity to a dedicated electrolyser so that all curtailment is converted to green hydrogen</t>
  </si>
  <si>
    <t>Original developer(s):</t>
  </si>
  <si>
    <t>Emma Dillon (thesis: Modelling green hydrogen pathways to decarbonise Ireland's electricity system)</t>
  </si>
  <si>
    <t>Current maintainer(s):</t>
  </si>
  <si>
    <t>Emma Dillon</t>
  </si>
  <si>
    <t>Part of TIM version:</t>
  </si>
  <si>
    <t>1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</si>
  <si>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</si>
  <si>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</si>
  <si>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</si>
  <si>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</si>
  <si>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</si>
  <si>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Curtailed electricity to green hydrogen</t>
  </si>
  <si>
    <t>ELCC (surplus) -&gt; P-CURT -&gt; ELCCUR -&gt; SH2PCELC_CUR -&gt; SUPH2GC. ELCCUR LimType FX = all curtailed electricity MUST be electrolysed (use LO for 'up to all').</t>
  </si>
  <si>
    <t>Use with Scen_PWR_RES_MustRun (renewables FX from 2025 + bans P-CURT-DUMP from 2025) and ELCC LimType = FX in VT_IE_PWR &gt; Commodities &gt; J21. P-CURT-DUMP lets surplus be discarded in 2018-2024 (before electrolysers exist / historic calibration years).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</si>
  <si>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</si>
  <si>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</si>
  <si>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</si>
  <si>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</si>
  <si>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</si>
  <si>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</si>
  <si>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</si>
  <si>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</si>
  <si>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</si>
  <si>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*Commodity set</t>
  </si>
  <si>
    <t>Commodity name</t>
  </si>
  <si>
    <t>Description</t>
  </si>
  <si>
    <t>Balance type</t>
  </si>
  <si>
    <t>Timeslice level</t>
  </si>
  <si>
    <t>NRG</t>
  </si>
  <si>
    <t>ELCCUR</t>
  </si>
  <si>
    <t>Curtailed renewable electricity</t>
  </si>
  <si>
    <t>PJ</t>
  </si>
  <si>
    <t>FX</t>
  </si>
  <si>
    <t>DAYNITE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</si>
  <si>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</si>
  <si>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</si>
  <si>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</si>
  <si>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</si>
  <si>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</si>
  <si>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</si>
  <si>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</si>
  <si>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</si>
  <si>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</si>
  <si>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*Process set</t>
  </si>
  <si>
    <t>Technology name</t>
  </si>
  <si>
    <t>Activity unit</t>
  </si>
  <si>
    <t>Capacity unit</t>
  </si>
  <si>
    <t>Primary commodity group</t>
  </si>
  <si>
    <t>Vintage tracking</t>
  </si>
  <si>
    <t>PRE</t>
  </si>
  <si>
    <t>P-CURT</t>
  </si>
  <si>
    <t>Surplus electricity diverted to curtailment</t>
  </si>
  <si>
    <t>PJa</t>
  </si>
  <si>
    <t>SH2PCELC_CUR</t>
  </si>
  <si>
    <t>Hydrogen production - electrolysis on curtailed electricity</t>
  </si>
  <si>
    <t>YES</t>
  </si>
  <si>
    <t>P-CURT-DUMP</t>
  </si>
  <si>
    <t>Dump of curtailed electricity (allowed before 2025 only)</t>
  </si>
  <si>
    <t>~FI_T</t>
  </si>
  <si>
    <t>*TechDesc</t>
  </si>
  <si>
    <t>Comm-IN</t>
  </si>
  <si>
    <t>Comm-OUT</t>
  </si>
  <si>
    <t>START</t>
  </si>
  <si>
    <t>LIFE</t>
  </si>
  <si>
    <t>CAP2ACT</t>
  </si>
  <si>
    <t>EFF~2025</t>
  </si>
  <si>
    <t>EFF~2050</t>
  </si>
  <si>
    <t>NCAP_COST~2025</t>
  </si>
  <si>
    <t>NCAP_COST~2030</t>
  </si>
  <si>
    <t>NCAP_COST~2040</t>
  </si>
  <si>
    <t>NCAP_COST~2050</t>
  </si>
  <si>
    <t>NCAP_FOM~2025</t>
  </si>
  <si>
    <t>NCAP_FOM~2050</t>
  </si>
  <si>
    <t>CURR</t>
  </si>
  <si>
    <t>*Technology name</t>
  </si>
  <si>
    <t>Input</t>
  </si>
  <si>
    <t>Output</t>
  </si>
  <si>
    <t>Year</t>
  </si>
  <si>
    <t>Years</t>
  </si>
  <si>
    <t>PJ/PJa</t>
  </si>
  <si>
    <t>H2 out / elec in</t>
  </si>
  <si>
    <t>M€/PJa H2 (= €/kWe / eff / 31.536)</t>
  </si>
  <si>
    <t>M€/PJa/yr (3% of capex)</t>
  </si>
  <si>
    <t>ELCC</t>
  </si>
  <si>
    <t>SUPH2GC</t>
  </si>
  <si>
    <t>MEUR2024</t>
  </si>
  <si>
    <t>*Assumptions: capex 2000/1500/1000/750 €2024/kWe (2025/30/40/50), efficiency 0.65-&gt;0.74 LHV, FOM 3%/yr. PLACEHOLDERS - replace with cited source (e.g. IEA Global Hydrogen Review, DEA Technology Catalogue).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</si>
</sst>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b/>
      <sz val="11"/>
      <name val="Cambria"/>
      <charset val="1"/>
    </font>
    <font>
      <b/>
      <sz val="12"/>
      <name val="Cambria"/>
      <charset val="1"/>
    </font>
    <font>
      <b/>
      <sz val="11"/>
      <color rgb="FFC00000"/>
      <name val="Cambria"/>
      <charset val="1"/>
    </font>
    <font>
      <i/>
      <sz val="11"/>
      <color rgb="FF808080"/>
      <name val="Cambria"/>
      <charset val="1"/>
    </font>
    <font>
      <i/>
      <sz val="11"/>
      <color rgb="FFC00000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6:B32"/>
  <sheetViews>
    <sheetView zoomScaleNormal="100" workbookViewId="0"/>
  </sheetViews>
  <sheetFormatPr defaultColWidth="8.6640625" defaultRowHeight="14.4" x14ac:dyDescent="0.3"/>
  <cols>
    <col min="1" max="1" width="24" customWidth="1"/>
    <col min="2" max="2" width="90" customWidth="1"/>
  </cols>
  <sheetData>
    <row r="16" spans="1:1" ht="17.25" customHeight="1" x14ac:dyDescent="0.3">
      <c r="A16" s="1" t="s">
        <v>0</v>
      </c>
    </row>
    <row r="19" spans="1:2" ht="15" customHeight="1" x14ac:dyDescent="0.3">
      <c r="A19" s="2" t="s">
        <v>1</v>
      </c>
      <c r="B19" t="s">
        <v>2</v>
      </c>
    </row>
    <row r="20" spans="1:2" ht="15" customHeight="1" x14ac:dyDescent="0.3">
      <c r="A20" s="2" t="s">
        <v>3</v>
      </c>
      <c r="B20" t="s">
        <v>4</v>
      </c>
    </row>
    <row r="21" spans="1:2" ht="15" customHeight="1" x14ac:dyDescent="0.3">
      <c r="A21" s="2" t="s">
        <v>5</v>
      </c>
      <c r="B21" t="s">
        <v>6</v>
      </c>
    </row>
    <row r="23" spans="1:2" ht="15" customHeight="1" x14ac:dyDescent="0.3">
      <c r="A23" s="2" t="s">
        <v>7</v>
      </c>
      <c r="B23" t="s">
        <v>8</v>
      </c>
    </row>
    <row r="26" spans="1:2" ht="15" customHeight="1" x14ac:dyDescent="0.3">
      <c r="A26" s="2" t="s">
        <v>9</v>
      </c>
      <c r="B26" t="s">
        <v>10</v>
      </c>
    </row>
    <row r="29" spans="1:2" ht="15" customHeight="1" x14ac:dyDescent="0.3">
      <c r="A29" s="2" t="s">
        <v>11</v>
      </c>
      <c r="B29" t="s">
        <v>12</v>
      </c>
    </row>
    <row r="30" spans="1:2" ht="15" customHeight="1" x14ac:dyDescent="0.3">
      <c r="A30" s="2" t="s">
        <v>13</v>
      </c>
      <c r="B30" t="s">
        <v>14</v>
      </c>
    </row>
    <row r="31" spans="1:2" ht="15" customHeight="1" x14ac:dyDescent="0.3">
      <c r="A31" s="2" t="s">
        <v>15</v>
      </c>
      <c r="B31" t="s">
        <v>16</v>
      </c>
    </row>
    <row r="32" spans="1:2" ht="15" customHeight="1" x14ac:dyDescent="0.3">
      <c r="B32" t="s"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4"/>
  <sheetViews>
    <sheetView tabSelected="1" zoomScaleNormal="100" workbookViewId="0"/>
  </sheetViews>
  <sheetFormatPr defaultColWidth="8.6640625" defaultRowHeight="14.4" x14ac:dyDescent="0.3"/>
  <cols>
    <col min="1" max="1" width="16" customWidth="1"/>
    <col min="2" max="2" width="48" customWidth="1"/>
    <col min="3" max="3" width="22.6640625" customWidth="1"/>
    <col min="4" max="4" width="10" customWidth="1"/>
    <col min="5" max="5" width="8" customWidth="1"/>
    <col min="6" max="6" width="10.77734375" customWidth="1"/>
    <col min="7" max="7" width="9" customWidth="1"/>
    <col min="8" max="9" width="10" customWidth="1"/>
    <col min="10" max="13" width="16" customWidth="1"/>
    <col min="14" max="15" width="14" customWidth="1"/>
    <col min="16" max="16" width="10" customWidth="1"/>
  </cols>
  <sheetData>
    <row r="1" spans="1:8" ht="15" customHeight="1" x14ac:dyDescent="0.3">
      <c r="A1" s="3" t="s">
        <v>18</v>
      </c>
    </row>
    <row r="2" spans="1:8" ht="15" customHeight="1" x14ac:dyDescent="0.3">
      <c r="A2" t="s">
        <v>19</v>
      </c>
    </row>
    <row r="3" spans="1:8" ht="15" customHeight="1" x14ac:dyDescent="0.3">
      <c r="A3" t="s">
        <v>20</v>
      </c>
    </row>
    <row r="5" spans="1:8" ht="15" customHeight="1" x14ac:dyDescent="0.3">
      <c r="A5" s="4" t="s">
        <v>21</v>
      </c>
    </row>
    <row r="6" spans="1:8" ht="15" customHeight="1" x14ac:dyDescent="0.3">
      <c r="A6" s="5" t="s">
        <v>22</v>
      </c>
      <c r="B6" s="5" t="s">
        <v>23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</row>
    <row r="7" spans="1:8" ht="15" customHeight="1" x14ac:dyDescent="0.3">
      <c r="A7" s="6" t="s">
        <v>30</v>
      </c>
      <c r="B7" s="6" t="s">
        <v>31</v>
      </c>
      <c r="C7" s="6" t="s">
        <v>32</v>
      </c>
      <c r="D7" s="6" t="s">
        <v>25</v>
      </c>
      <c r="E7" s="6" t="s">
        <v>33</v>
      </c>
      <c r="F7" s="6" t="s">
        <v>34</v>
      </c>
      <c r="G7" s="6"/>
      <c r="H7" s="6"/>
    </row>
    <row r="8" spans="1:8" ht="15" customHeight="1" x14ac:dyDescent="0.3">
      <c r="A8" t="s">
        <v>35</v>
      </c>
      <c r="B8" t="s">
        <v>36</v>
      </c>
      <c r="C8" t="s">
        <v>37</v>
      </c>
      <c r="D8" t="s">
        <v>38</v>
      </c>
      <c r="E8" t="s">
        <v>39</v>
      </c>
      <c r="F8" t="s">
        <v>40</v>
      </c>
    </row>
    <row r="11" spans="1:8" ht="15" customHeight="1" x14ac:dyDescent="0.3">
      <c r="A11" s="4" t="s">
        <v>41</v>
      </c>
    </row>
    <row r="12" spans="1:8" ht="15" customHeight="1" x14ac:dyDescent="0.3">
      <c r="A12" s="5" t="s">
        <v>42</v>
      </c>
      <c r="B12" s="5" t="s">
        <v>43</v>
      </c>
      <c r="C12" s="5" t="s">
        <v>44</v>
      </c>
      <c r="D12" s="5" t="s">
        <v>45</v>
      </c>
      <c r="E12" s="5" t="s">
        <v>46</v>
      </c>
      <c r="F12" s="5" t="s">
        <v>47</v>
      </c>
      <c r="G12" s="5" t="s">
        <v>48</v>
      </c>
      <c r="H12" s="5" t="s">
        <v>49</v>
      </c>
    </row>
    <row r="13" spans="1:8" ht="15" customHeight="1" x14ac:dyDescent="0.3">
      <c r="A13" s="6" t="s">
        <v>50</v>
      </c>
      <c r="B13" s="6" t="s">
        <v>51</v>
      </c>
      <c r="C13" s="6" t="s">
        <v>32</v>
      </c>
      <c r="D13" s="6" t="s">
        <v>52</v>
      </c>
      <c r="E13" s="6" t="s">
        <v>53</v>
      </c>
      <c r="F13" s="6" t="s">
        <v>34</v>
      </c>
      <c r="G13" s="6" t="s">
        <v>54</v>
      </c>
      <c r="H13" s="6" t="s">
        <v>55</v>
      </c>
    </row>
    <row r="14" spans="1:8" ht="15" customHeight="1" x14ac:dyDescent="0.3">
      <c r="A14" t="s">
        <v>56</v>
      </c>
      <c r="B14" t="s">
        <v>57</v>
      </c>
      <c r="C14" t="s">
        <v>58</v>
      </c>
      <c r="D14" t="s">
        <v>38</v>
      </c>
      <c r="E14" t="s">
        <v>59</v>
      </c>
      <c r="F14" t="s">
        <v>40</v>
      </c>
    </row>
    <row r="15" spans="1:8" ht="15" customHeight="1" x14ac:dyDescent="0.3">
      <c r="A15" t="s">
        <v>56</v>
      </c>
      <c r="B15" t="s">
        <v>60</v>
      </c>
      <c r="C15" t="s">
        <v>61</v>
      </c>
      <c r="D15" t="s">
        <v>38</v>
      </c>
      <c r="E15" t="s">
        <v>59</v>
      </c>
      <c r="F15" t="s">
        <v>40</v>
      </c>
      <c r="H15" t="s">
        <v>62</v>
      </c>
    </row>
    <row r="16" spans="1:8" x14ac:dyDescent="0.3">
      <c r="A16" t="s">
        <v>56</v>
      </c>
      <c r="B16" t="s">
        <v>63</v>
      </c>
      <c r="C16" t="s">
        <v>64</v>
      </c>
      <c r="D16" t="s">
        <v>38</v>
      </c>
      <c r="E16" t="s">
        <v>59</v>
      </c>
      <c r="F16" t="s">
        <v>40</v>
      </c>
    </row>
    <row r="18" spans="1:16" ht="15" customHeight="1" x14ac:dyDescent="0.3">
      <c r="A18" s="4" t="s">
        <v>65</v>
      </c>
    </row>
    <row r="19" spans="1:16" ht="15" customHeight="1" x14ac:dyDescent="0.3">
      <c r="A19" s="5" t="s">
        <v>43</v>
      </c>
      <c r="B19" s="5" t="s">
        <v>66</v>
      </c>
      <c r="C19" s="5" t="s">
        <v>67</v>
      </c>
      <c r="D19" s="5" t="s">
        <v>68</v>
      </c>
      <c r="E19" s="5" t="s">
        <v>69</v>
      </c>
      <c r="F19" s="5" t="s">
        <v>70</v>
      </c>
      <c r="G19" s="5" t="s">
        <v>71</v>
      </c>
      <c r="H19" s="5" t="s">
        <v>72</v>
      </c>
      <c r="I19" s="5" t="s">
        <v>73</v>
      </c>
      <c r="J19" s="5" t="s">
        <v>74</v>
      </c>
      <c r="K19" s="5" t="s">
        <v>75</v>
      </c>
      <c r="L19" s="5" t="s">
        <v>76</v>
      </c>
      <c r="M19" s="5" t="s">
        <v>77</v>
      </c>
      <c r="N19" s="5" t="s">
        <v>78</v>
      </c>
      <c r="O19" s="5" t="s">
        <v>79</v>
      </c>
      <c r="P19" s="5" t="s">
        <v>80</v>
      </c>
    </row>
    <row r="20" spans="1:16" ht="15" customHeight="1" x14ac:dyDescent="0.3">
      <c r="A20" s="6" t="s">
        <v>81</v>
      </c>
      <c r="B20" s="6" t="s">
        <v>32</v>
      </c>
      <c r="C20" s="6" t="s">
        <v>82</v>
      </c>
      <c r="D20" s="6" t="s">
        <v>83</v>
      </c>
      <c r="E20" s="6" t="s">
        <v>84</v>
      </c>
      <c r="F20" s="6" t="s">
        <v>85</v>
      </c>
      <c r="G20" s="6" t="s">
        <v>86</v>
      </c>
      <c r="H20" s="6" t="s">
        <v>87</v>
      </c>
      <c r="I20" s="6"/>
      <c r="J20" s="6" t="s">
        <v>88</v>
      </c>
      <c r="K20" s="6"/>
      <c r="L20" s="6"/>
      <c r="M20" s="6"/>
      <c r="N20" s="6" t="s">
        <v>89</v>
      </c>
      <c r="O20" s="6"/>
      <c r="P20" s="6"/>
    </row>
    <row r="21" spans="1:16" ht="15" customHeight="1" x14ac:dyDescent="0.3">
      <c r="A21" t="s">
        <v>57</v>
      </c>
      <c r="B21" t="s">
        <v>58</v>
      </c>
      <c r="C21" t="s">
        <v>90</v>
      </c>
      <c r="D21" t="s">
        <v>36</v>
      </c>
      <c r="E21">
        <v>2018</v>
      </c>
      <c r="F21">
        <v>100</v>
      </c>
      <c r="H21">
        <v>1</v>
      </c>
      <c r="I21">
        <v>1</v>
      </c>
    </row>
    <row r="22" spans="1:16" ht="15" customHeight="1" x14ac:dyDescent="0.3">
      <c r="A22" t="s">
        <v>60</v>
      </c>
      <c r="B22" t="s">
        <v>61</v>
      </c>
      <c r="C22" t="s">
        <v>36</v>
      </c>
      <c r="D22" t="s">
        <v>91</v>
      </c>
      <c r="E22">
        <v>2025</v>
      </c>
      <c r="F22">
        <v>25</v>
      </c>
      <c r="G22">
        <v>1</v>
      </c>
      <c r="H22">
        <v>0.65</v>
      </c>
      <c r="I22">
        <v>0.74</v>
      </c>
      <c r="J22">
        <f>2000/0.65/31.536</f>
        <v>97.568590719275633</v>
      </c>
      <c r="K22">
        <f>1500/0.67/31.536</f>
        <v>70.992071605443087</v>
      </c>
      <c r="L22">
        <f>1000/0.71/31.536</f>
        <v>44.66167885037266</v>
      </c>
      <c r="M22">
        <f>750/0.74/31.536</f>
        <v>32.13830268624789</v>
      </c>
      <c r="N22">
        <f>J22*0.03</f>
        <v>2.9270577215782687</v>
      </c>
      <c r="O22">
        <f>M22*0.03</f>
        <v>0.96414908058743665</v>
      </c>
      <c r="P22" t="s">
        <v>92</v>
      </c>
    </row>
    <row r="23" spans="1:16" x14ac:dyDescent="0.3">
      <c r="A23" t="s">
        <v>63</v>
      </c>
      <c r="B23" t="s">
        <v>64</v>
      </c>
      <c r="C23" t="s">
        <v>36</v>
      </c>
      <c r="E23">
        <v>2018</v>
      </c>
      <c r="F23">
        <v>100</v>
      </c>
    </row>
    <row r="24" spans="1:16" ht="15" customHeight="1" x14ac:dyDescent="0.3">
      <c r="A24" s="7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H2_Curtail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Emma Dillon</cp:lastModifiedBy>
  <dcterms:modified xsi:type="dcterms:W3CDTF">2026-10-30T14:37:03Z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2026-10-27T19:09:37Z</dcterms:created>
  <dc:creator>openpyxl</dc:creator>
  <dc:description/>
  <dc:language>en-US</dc:language>
  <cp:lastModifiedBy/>
  <dcterms:modified xsi:type="dcterms:W3CDTF">2026-10-28T11:41:34Z</dcterms:modified>
  <cp:revision>0</cp:revision>
  <dc:subject/>
  <dc:title/>
</cp:coreProperties>
</file>