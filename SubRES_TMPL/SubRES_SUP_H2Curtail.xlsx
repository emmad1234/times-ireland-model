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2_Cur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C00000"/>
    </font>
    <font>
      <i val="1"/>
      <color rgb="00808080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6:B3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6">
      <c r="A16" s="1" t="inlineStr">
        <is>
          <t>TIMES-Ireland Model</t>
        </is>
      </c>
    </row>
    <row r="19">
      <c r="A19" s="2" t="inlineStr">
        <is>
          <t>Document type:</t>
        </is>
      </c>
      <c r="B19" t="inlineStr">
        <is>
          <t>New Technologies</t>
        </is>
      </c>
    </row>
    <row r="20">
      <c r="A20" s="2" t="inlineStr">
        <is>
          <t>Sector(s):</t>
        </is>
      </c>
      <c r="B20" t="inlineStr">
        <is>
          <t>Supply sector (SUP) / Power sector (PWR)</t>
        </is>
      </c>
    </row>
    <row r="21">
      <c r="A21" s="2" t="inlineStr">
        <is>
          <t>Purpose:</t>
        </is>
      </c>
      <c r="B21" t="inlineStr">
        <is>
          <t>Route curtailed (surplus) electricity to a dedicated electrolyser so that all curtailment is converted to green hydrogen</t>
        </is>
      </c>
    </row>
    <row r="23">
      <c r="A23" s="2" t="inlineStr">
        <is>
          <t>Original developer(s):</t>
        </is>
      </c>
      <c r="B23" t="inlineStr">
        <is>
          <t>Emma Dillon (thesis: Modelling green hydrogen pathways to decarbonise Ireland's electricity system)</t>
        </is>
      </c>
    </row>
    <row r="26">
      <c r="A26" s="2" t="inlineStr">
        <is>
          <t>Current maintainer(s):</t>
        </is>
      </c>
      <c r="B26" t="inlineStr">
        <is>
          <t>Emma Dillon</t>
        </is>
      </c>
    </row>
    <row r="29">
      <c r="A29" s="2" t="inlineStr">
        <is>
          <t>Part of TIM version:</t>
        </is>
      </c>
      <c r="B29" t="inlineStr">
        <is>
          <t>1</t>
        </is>
      </c>
    </row>
    <row r="30">
      <c r="A30" s="2" t="inlineStr">
        <is>
          <t>Model repository:</t>
        </is>
      </c>
      <c r="B30" t="inlineStr">
        <is>
          <t>https://github.com/MaREI-EPMG/TIMES-Ireland-model</t>
        </is>
      </c>
    </row>
    <row r="31">
      <c r="A31" s="2" t="inlineStr">
        <is>
          <t>Licence:</t>
        </is>
      </c>
      <c r="B31" t="inlineStr">
        <is>
          <t>CC BY-NC-SA 4.0 (unless specified otherwise)</t>
        </is>
      </c>
    </row>
    <row r="32">
      <c r="B32" t="inlineStr">
        <is>
          <t>https://creativecommons.org/licenses/by-nc-sa/4.0/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0" customWidth="1" min="4" max="4"/>
    <col width="8" customWidth="1" min="5" max="5"/>
    <col width="7" customWidth="1" min="6" max="6"/>
    <col width="9" customWidth="1" min="7" max="7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0" customWidth="1" min="16" max="16"/>
  </cols>
  <sheetData>
    <row r="1">
      <c r="A1" s="3" t="inlineStr">
        <is>
          <t>Curtailed electricity to green hydrogen</t>
        </is>
      </c>
    </row>
    <row r="2">
      <c r="A2" t="inlineStr">
        <is>
          <t>ELCC (surplus) -&gt; P-CURT -&gt; ELCCUR -&gt; SH2PCELC_CUR -&gt; SUPH2GC. ELCCUR LimType FX = all curtailed electricity MUST be electrolysed (use LO for 'up to all').</t>
        </is>
      </c>
    </row>
    <row r="3">
      <c r="A3" t="inlineStr">
        <is>
          <t>Use together with Scen_PWR_RES_MustRun (renewables FX) and ELCC LimType = FX in VT_IE_PWR &gt; Commodities &gt; J21. Electrolyser data = placeholders; keep identical to SH2PCELC_01 in SubRES_SUP_Hydrogen.</t>
        </is>
      </c>
    </row>
    <row r="5">
      <c r="A5" s="4" t="inlineStr">
        <is>
          <t>~FI_Comm</t>
        </is>
      </c>
    </row>
    <row r="6">
      <c r="A6" s="5" t="inlineStr">
        <is>
          <t>Csets</t>
        </is>
      </c>
      <c r="B6" s="5" t="inlineStr">
        <is>
          <t>CommName</t>
        </is>
      </c>
      <c r="C6" s="5" t="inlineStr">
        <is>
          <t>CommDesc</t>
        </is>
      </c>
      <c r="D6" s="5" t="inlineStr">
        <is>
          <t>Unit</t>
        </is>
      </c>
      <c r="E6" s="5" t="inlineStr">
        <is>
          <t>LimType</t>
        </is>
      </c>
      <c r="F6" s="5" t="inlineStr">
        <is>
          <t>CTSLvl</t>
        </is>
      </c>
      <c r="G6" s="5" t="inlineStr">
        <is>
          <t>PeakTS</t>
        </is>
      </c>
      <c r="H6" s="5" t="inlineStr">
        <is>
          <t>Ctype</t>
        </is>
      </c>
    </row>
    <row r="7">
      <c r="A7" s="6" t="inlineStr">
        <is>
          <t>*Commodity set</t>
        </is>
      </c>
      <c r="B7" s="6" t="inlineStr">
        <is>
          <t>Commodity name</t>
        </is>
      </c>
      <c r="C7" s="6" t="inlineStr">
        <is>
          <t>Description</t>
        </is>
      </c>
      <c r="D7" s="6" t="inlineStr">
        <is>
          <t>Unit</t>
        </is>
      </c>
      <c r="E7" s="6" t="inlineStr">
        <is>
          <t>Balance type</t>
        </is>
      </c>
      <c r="F7" s="6" t="inlineStr">
        <is>
          <t>Timeslice level</t>
        </is>
      </c>
      <c r="G7" s="6" t="inlineStr"/>
      <c r="H7" s="6" t="inlineStr"/>
    </row>
    <row r="8">
      <c r="A8" t="inlineStr">
        <is>
          <t>NRG</t>
        </is>
      </c>
      <c r="B8" t="inlineStr">
        <is>
          <t>ELCCUR</t>
        </is>
      </c>
      <c r="C8" t="inlineStr">
        <is>
          <t>Curtailed renewable electricity</t>
        </is>
      </c>
      <c r="D8" t="inlineStr">
        <is>
          <t>PJ</t>
        </is>
      </c>
      <c r="E8" t="inlineStr">
        <is>
          <t>FX</t>
        </is>
      </c>
      <c r="F8" t="inlineStr">
        <is>
          <t>DAYNITE</t>
        </is>
      </c>
    </row>
    <row r="11">
      <c r="A11" s="4" t="inlineStr">
        <is>
          <t>~FI_Process</t>
        </is>
      </c>
    </row>
    <row r="12">
      <c r="A12" s="5" t="inlineStr">
        <is>
          <t>Sets</t>
        </is>
      </c>
      <c r="B12" s="5" t="inlineStr">
        <is>
          <t>TechName</t>
        </is>
      </c>
      <c r="C12" s="5" t="inlineStr">
        <is>
          <t>TechDesc</t>
        </is>
      </c>
      <c r="D12" s="5" t="inlineStr">
        <is>
          <t>Tact</t>
        </is>
      </c>
      <c r="E12" s="5" t="inlineStr">
        <is>
          <t>Tcap</t>
        </is>
      </c>
      <c r="F12" s="5" t="inlineStr">
        <is>
          <t>Tslvl</t>
        </is>
      </c>
      <c r="G12" s="5" t="inlineStr">
        <is>
          <t>PrimaryCG</t>
        </is>
      </c>
      <c r="H12" s="5" t="inlineStr">
        <is>
          <t>Vintage</t>
        </is>
      </c>
    </row>
    <row r="13">
      <c r="A13" s="6" t="inlineStr">
        <is>
          <t>*Process set</t>
        </is>
      </c>
      <c r="B13" s="6" t="inlineStr">
        <is>
          <t>Technology name</t>
        </is>
      </c>
      <c r="C13" s="6" t="inlineStr">
        <is>
          <t>Description</t>
        </is>
      </c>
      <c r="D13" s="6" t="inlineStr">
        <is>
          <t>Activity unit</t>
        </is>
      </c>
      <c r="E13" s="6" t="inlineStr">
        <is>
          <t>Capacity unit</t>
        </is>
      </c>
      <c r="F13" s="6" t="inlineStr">
        <is>
          <t>Timeslice level</t>
        </is>
      </c>
      <c r="G13" s="6" t="inlineStr">
        <is>
          <t>Primary commodity group</t>
        </is>
      </c>
      <c r="H13" s="6" t="inlineStr">
        <is>
          <t>Vintage tracking</t>
        </is>
      </c>
    </row>
    <row r="14">
      <c r="A14" t="inlineStr">
        <is>
          <t>PRE</t>
        </is>
      </c>
      <c r="B14" t="inlineStr">
        <is>
          <t>P-CURT</t>
        </is>
      </c>
      <c r="C14" t="inlineStr">
        <is>
          <t>Surplus electricity diverted to curtailment</t>
        </is>
      </c>
      <c r="D14" t="inlineStr">
        <is>
          <t>PJ</t>
        </is>
      </c>
      <c r="E14" t="inlineStr">
        <is>
          <t>PJa</t>
        </is>
      </c>
      <c r="F14" t="inlineStr">
        <is>
          <t>DAYNITE</t>
        </is>
      </c>
    </row>
    <row r="15">
      <c r="A15" t="inlineStr">
        <is>
          <t>PRE</t>
        </is>
      </c>
      <c r="B15" t="inlineStr">
        <is>
          <t>SH2PCELC_CUR</t>
        </is>
      </c>
      <c r="C15" t="inlineStr">
        <is>
          <t>Hydrogen production - electrolysis on curtailed electricity</t>
        </is>
      </c>
      <c r="D15" t="inlineStr">
        <is>
          <t>PJ</t>
        </is>
      </c>
      <c r="E15" t="inlineStr">
        <is>
          <t>PJa</t>
        </is>
      </c>
      <c r="F15" t="inlineStr">
        <is>
          <t>DAYNITE</t>
        </is>
      </c>
      <c r="H15" t="inlineStr">
        <is>
          <t>YES</t>
        </is>
      </c>
    </row>
    <row r="18">
      <c r="A18" s="4" t="inlineStr">
        <is>
          <t>~FI_T</t>
        </is>
      </c>
    </row>
    <row r="19">
      <c r="A19" s="5" t="inlineStr">
        <is>
          <t>TechName</t>
        </is>
      </c>
      <c r="B19" s="5" t="inlineStr">
        <is>
          <t>*TechDesc</t>
        </is>
      </c>
      <c r="C19" s="5" t="inlineStr">
        <is>
          <t>Comm-IN</t>
        </is>
      </c>
      <c r="D19" s="5" t="inlineStr">
        <is>
          <t>Comm-OUT</t>
        </is>
      </c>
      <c r="E19" s="5" t="inlineStr">
        <is>
          <t>START</t>
        </is>
      </c>
      <c r="F19" s="5" t="inlineStr">
        <is>
          <t>LIFE</t>
        </is>
      </c>
      <c r="G19" s="5" t="inlineStr">
        <is>
          <t>CAP2ACT</t>
        </is>
      </c>
      <c r="H19" s="5" t="inlineStr">
        <is>
          <t>EFF~2025</t>
        </is>
      </c>
      <c r="I19" s="5" t="inlineStr">
        <is>
          <t>EFF~2050</t>
        </is>
      </c>
      <c r="J19" s="5" t="inlineStr">
        <is>
          <t>NCAP_COST~2025</t>
        </is>
      </c>
      <c r="K19" s="5" t="inlineStr">
        <is>
          <t>NCAP_COST~2030</t>
        </is>
      </c>
      <c r="L19" s="5" t="inlineStr">
        <is>
          <t>NCAP_COST~2040</t>
        </is>
      </c>
      <c r="M19" s="5" t="inlineStr">
        <is>
          <t>NCAP_COST~2050</t>
        </is>
      </c>
      <c r="N19" s="5" t="inlineStr">
        <is>
          <t>NCAP_FOM~2025</t>
        </is>
      </c>
      <c r="O19" s="5" t="inlineStr">
        <is>
          <t>NCAP_FOM~2050</t>
        </is>
      </c>
      <c r="P19" s="5" t="inlineStr">
        <is>
          <t>CURR</t>
        </is>
      </c>
    </row>
    <row r="20">
      <c r="A20" s="6" t="inlineStr">
        <is>
          <t>*Technology name</t>
        </is>
      </c>
      <c r="B20" s="6" t="inlineStr">
        <is>
          <t>Description</t>
        </is>
      </c>
      <c r="C20" s="6" t="inlineStr">
        <is>
          <t>Input</t>
        </is>
      </c>
      <c r="D20" s="6" t="inlineStr">
        <is>
          <t>Output</t>
        </is>
      </c>
      <c r="E20" s="6" t="inlineStr">
        <is>
          <t>Year</t>
        </is>
      </c>
      <c r="F20" s="6" t="inlineStr">
        <is>
          <t>Years</t>
        </is>
      </c>
      <c r="G20" s="6" t="inlineStr">
        <is>
          <t>PJ/PJa</t>
        </is>
      </c>
      <c r="H20" s="6" t="inlineStr">
        <is>
          <t>H2 out / elec in</t>
        </is>
      </c>
      <c r="I20" s="6" t="inlineStr"/>
      <c r="J20" s="6" t="inlineStr">
        <is>
          <t>M€/PJa H2 (= €/kWe / eff / 31.536)</t>
        </is>
      </c>
      <c r="K20" s="6" t="inlineStr"/>
      <c r="L20" s="6" t="inlineStr"/>
      <c r="M20" s="6" t="inlineStr"/>
      <c r="N20" s="6" t="inlineStr">
        <is>
          <t>M€/PJa/yr (3% of capex)</t>
        </is>
      </c>
      <c r="O20" s="6" t="inlineStr"/>
      <c r="P20" s="6" t="inlineStr"/>
    </row>
    <row r="21">
      <c r="A21" t="inlineStr">
        <is>
          <t>P-CURT</t>
        </is>
      </c>
      <c r="B21" t="inlineStr">
        <is>
          <t>Surplus electricity diverted to curtailment</t>
        </is>
      </c>
      <c r="C21" t="inlineStr">
        <is>
          <t>ELCC</t>
        </is>
      </c>
      <c r="D21" t="inlineStr">
        <is>
          <t>ELCCUR</t>
        </is>
      </c>
      <c r="E21" t="n">
        <v>2018</v>
      </c>
      <c r="F21" t="n">
        <v>100</v>
      </c>
      <c r="H21" t="n">
        <v>1</v>
      </c>
      <c r="I21" t="n">
        <v>1</v>
      </c>
    </row>
    <row r="22">
      <c r="A22" t="inlineStr">
        <is>
          <t>SH2PCELC_CUR</t>
        </is>
      </c>
      <c r="B22" t="inlineStr">
        <is>
          <t>Hydrogen production - electrolysis on curtailed electricity</t>
        </is>
      </c>
      <c r="C22" t="inlineStr">
        <is>
          <t>ELCCUR</t>
        </is>
      </c>
      <c r="D22" t="inlineStr">
        <is>
          <t>SUPH2GC</t>
        </is>
      </c>
      <c r="E22" t="n">
        <v>2025</v>
      </c>
      <c r="F22" t="n">
        <v>25</v>
      </c>
      <c r="G22" t="n">
        <v>1</v>
      </c>
      <c r="H22" t="n">
        <v>0.65</v>
      </c>
      <c r="I22" t="n">
        <v>0.74</v>
      </c>
      <c r="J22">
        <f>2000/0.65/31.536</f>
        <v/>
      </c>
      <c r="K22">
        <f>1500/0.67/31.536</f>
        <v/>
      </c>
      <c r="L22">
        <f>1000/0.71/31.536</f>
        <v/>
      </c>
      <c r="M22">
        <f>750/0.74/31.536</f>
        <v/>
      </c>
      <c r="N22">
        <f>J22*0.03</f>
        <v/>
      </c>
      <c r="O22">
        <f>M22*0.03</f>
        <v/>
      </c>
      <c r="P22" t="inlineStr">
        <is>
          <t>MEUR2024</t>
        </is>
      </c>
    </row>
    <row r="24">
      <c r="A24" s="7" t="inlineStr">
        <is>
          <t>*Assumptions: capex 2000/1500/1000/750 €2024/kWe (2025/30/40/50), efficiency 0.65-&gt;0.74 LHV, FOM 3%/yr. PLACEHOLDERS - replace with cited source (e.g. IEA Global Hydrogen Review, DEA Technology Catalogue).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2026-10-27T19:09:37Z</dcterms:created>
  <dcterms:modified xmlns:dcterms="http://purl.org/dc/terms/" xmlns:xsi="http://www.w3.org/2001/XMLSchema-instance" xsi:type="dcterms:W3CDTF">2026-10-27T19:09:37Z</dcterms:modified>
</cp:coreProperties>
</file>