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bRES_TMPL/"/>
    </mc:Choice>
  </mc:AlternateContent>
  <xr:revisionPtr revIDLastSave="2" documentId="13_ncr:1_{CF8EC404-81D7-44BD-8C8D-97D64752F6AF}" xr6:coauthVersionLast="47" xr6:coauthVersionMax="47" xr10:uidLastSave="{4D6E6914-9CE6-4811-8508-370C81E9AB2D}"/>
  <bookViews>
    <workbookView xWindow="-108" yWindow="-108" windowWidth="23256" windowHeight="13896" tabRatio="909" activeTab="2" xr2:uid="{00000000-000D-0000-FFFF-FFFF00000000}"/>
  </bookViews>
  <sheets>
    <sheet name="Cover" sheetId="47" r:id="rId1"/>
    <sheet name="Regions" sheetId="46" r:id="rId2"/>
    <sheet name="TechSelection" sheetId="34" r:id="rId3"/>
  </sheets>
  <externalReferences>
    <externalReference r:id="rId4"/>
  </externalReference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FID_1">[1]AGR_Fuels!$A$2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4" l="1"/>
  <c r="H4" i="34"/>
  <c r="D7" i="46" l="1"/>
  <c r="C7" i="46"/>
  <c r="AA6" i="46"/>
  <c r="S6" i="46"/>
  <c r="K6" i="46"/>
  <c r="D6" i="46"/>
  <c r="C6" i="46"/>
  <c r="AD5" i="46"/>
  <c r="AD7" i="46" s="1"/>
  <c r="AC5" i="46"/>
  <c r="AC7" i="46" s="1"/>
  <c r="AB5" i="46"/>
  <c r="AB7" i="46" s="1"/>
  <c r="AA5" i="46"/>
  <c r="AA7" i="46" s="1"/>
  <c r="Z5" i="46"/>
  <c r="Z6" i="46" s="1"/>
  <c r="Y5" i="46"/>
  <c r="Y6" i="46" s="1"/>
  <c r="X5" i="46"/>
  <c r="X6" i="46" s="1"/>
  <c r="W5" i="46"/>
  <c r="W6" i="46" s="1"/>
  <c r="V5" i="46"/>
  <c r="V7" i="46" s="1"/>
  <c r="U5" i="46"/>
  <c r="U7" i="46" s="1"/>
  <c r="T5" i="46"/>
  <c r="T7" i="46" s="1"/>
  <c r="S5" i="46"/>
  <c r="S7" i="46" s="1"/>
  <c r="R5" i="46"/>
  <c r="R6" i="46" s="1"/>
  <c r="Q5" i="46"/>
  <c r="Q6" i="46" s="1"/>
  <c r="P5" i="46"/>
  <c r="P6" i="46" s="1"/>
  <c r="O5" i="46"/>
  <c r="O6" i="46" s="1"/>
  <c r="N5" i="46"/>
  <c r="N7" i="46" s="1"/>
  <c r="M5" i="46"/>
  <c r="M7" i="46" s="1"/>
  <c r="L5" i="46"/>
  <c r="L7" i="46" s="1"/>
  <c r="K5" i="46"/>
  <c r="K7" i="46" s="1"/>
  <c r="J5" i="46"/>
  <c r="J6" i="46" s="1"/>
  <c r="I5" i="46"/>
  <c r="I6" i="46" s="1"/>
  <c r="H5" i="46"/>
  <c r="H6" i="46" s="1"/>
  <c r="G5" i="46"/>
  <c r="G6" i="46" s="1"/>
  <c r="F5" i="46"/>
  <c r="F7" i="46" s="1"/>
  <c r="E5" i="46"/>
  <c r="E7" i="46" s="1"/>
  <c r="AD3" i="46" a="1"/>
  <c r="AC3" i="46" a="1"/>
  <c r="AB3" i="46" a="1"/>
  <c r="AA3" i="46" a="1"/>
  <c r="Z3" i="46" a="1"/>
  <c r="Y3" i="46" a="1"/>
  <c r="X3" i="46" a="1"/>
  <c r="W3" i="46" a="1"/>
  <c r="V3" i="46" a="1"/>
  <c r="U3" i="46" a="1"/>
  <c r="T3" i="46" a="1"/>
  <c r="S3" i="46" a="1"/>
  <c r="R3" i="46" a="1"/>
  <c r="Q3" i="46" a="1"/>
  <c r="P3" i="46" a="1"/>
  <c r="O3" i="46" a="1"/>
  <c r="N3" i="46" a="1"/>
  <c r="M3" i="46" a="1"/>
  <c r="L3" i="46" a="1"/>
  <c r="K3" i="46" a="1"/>
  <c r="J3" i="46" a="1"/>
  <c r="I3" i="46" a="1"/>
  <c r="H3" i="46" a="1"/>
  <c r="G3" i="46" a="1"/>
  <c r="F3" i="46" a="1"/>
  <c r="E3" i="46" a="1"/>
  <c r="D3" i="46" a="1"/>
  <c r="C3" i="46" a="1"/>
  <c r="G7" i="46" l="1"/>
  <c r="O7" i="46"/>
  <c r="W7" i="46"/>
  <c r="L6" i="46"/>
  <c r="T6" i="46"/>
  <c r="AB6" i="46"/>
  <c r="H7" i="46"/>
  <c r="P7" i="46"/>
  <c r="X7" i="46"/>
  <c r="E6" i="46"/>
  <c r="M6" i="46"/>
  <c r="U6" i="46"/>
  <c r="AC6" i="46"/>
  <c r="I7" i="46"/>
  <c r="Q7" i="46"/>
  <c r="Y7" i="46"/>
  <c r="F6" i="46"/>
  <c r="N6" i="46"/>
  <c r="V6" i="46"/>
  <c r="AD6" i="46"/>
  <c r="J7" i="46"/>
  <c r="R7" i="46"/>
  <c r="Z7" i="4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<sst xmlns="http://schemas.openxmlformats.org/spreadsheetml/2006/main" count="85" uniqueCount="84">
  <si>
    <t>IE</t>
  </si>
  <si>
    <t>*</t>
  </si>
  <si>
    <t>~TFM_AVA</t>
  </si>
  <si>
    <t>PSET_SET</t>
  </si>
  <si>
    <t>PSET_PN</t>
  </si>
  <si>
    <t>PSET_PD</t>
  </si>
  <si>
    <t>PSET_CO</t>
  </si>
  <si>
    <t>PSET_CI</t>
  </si>
  <si>
    <t>Allregions</t>
  </si>
  <si>
    <t>National</t>
  </si>
  <si>
    <t>Development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</si>
  <si>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</si>
  <si>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</si>
  <si>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</si>
  <si>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</si>
  <si>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</si>
  <si>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</si>
  <si>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</si>
  <si>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</si>
  <si>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</si>
  <si>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</si>
  <si>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</si>
  <si>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</si>
  <si>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</si>
  <si>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</si>
  <si>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</si>
  <si>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</si>
  <si>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</si>
  <si>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</si>
  <si>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</si>
  <si>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</si>
  <si>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</si>
  <si>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</si>
  <si>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</si>
  <si>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</si>
  <si>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</si>
  <si>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</si>
  <si>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</si>
  <si>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</si>
  <si>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</si>
  <si>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</si>
  <si>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</si>
  <si>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</si>
  <si>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</si>
  <si>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</si>
  <si>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</si>
  <si>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</si>
  <si>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</si>
  <si>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</si>
  <si>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</si>
  <si>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</si>
  <si>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</si>
  <si>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</si>
  <si>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</si>
  <si>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</si>
  <si>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</si>
  <si>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</si>
  <si>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</si>
  <si>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</si>
  <si>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</si>
  <si>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</si>
  <si>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</si>
  <si>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</si>
  <si>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</si>
  <si>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</si>
  <si>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</si>
  <si>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</si>
  <si>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</rPr>
      <t>https://en.wikipedia.org/wiki/ISO_3166-2:IE</t>
    </r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</si>
  <si>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</si>
  <si>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</si>
  <si>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</si>
  <si>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</si>
  <si>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</si>
  <si>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</si>
  <si>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</si>
  <si>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</si>
  <si>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</si>
  <si>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</si>
  <si>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</si>
  <si>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</si>
  <si>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 - Transformation</t>
  </si>
  <si>
    <t>Specify regional availability of technologies</t>
  </si>
  <si>
    <t>Olexandr Balyk (UCC, olexandr.balyk@ucc.ie)</t>
  </si>
  <si>
    <t>Supply sector (SUP)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</si>
</sst>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3" borderId="2" xfId="0" applyFont="1" applyFill="1" applyBorder="1"/>
    <xf numFmtId="0" fontId="2" fillId="0" borderId="0" xfId="0" applyFont="1"/>
    <xf numFmtId="0" fontId="2" fillId="3" borderId="3" xfId="0" applyFont="1" applyFill="1" applyBorder="1"/>
    <xf numFmtId="0" fontId="2" fillId="2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 applyProtection="1">
      <alignment horizontal="left" vertical="center"/>
      <protection locked="0"/>
    </xf>
    <xf numFmtId="0" fontId="5" fillId="5" borderId="2" xfId="0" applyFont="1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1" fillId="6" borderId="0" xfId="1" applyFont="1" applyFill="1" applyAlignment="1">
      <alignment vertical="center"/>
    </xf>
    <xf numFmtId="0" fontId="1" fillId="7" borderId="0" xfId="1" applyFont="1" applyFill="1" applyAlignment="1">
      <alignment vertical="center"/>
    </xf>
    <xf numFmtId="0" fontId="1" fillId="0" borderId="0" xfId="2"/>
    <xf numFmtId="0" fontId="7" fillId="7" borderId="0" xfId="1" applyFont="1" applyFill="1" applyAlignment="1">
      <alignment vertical="center"/>
    </xf>
    <xf numFmtId="0" fontId="8" fillId="7" borderId="0" xfId="1" applyFont="1" applyFill="1" applyAlignment="1">
      <alignment vertical="center"/>
    </xf>
    <xf numFmtId="0" fontId="1" fillId="8" borderId="0" xfId="1" applyFont="1" applyFill="1" applyAlignment="1">
      <alignment vertical="center"/>
    </xf>
    <xf numFmtId="0" fontId="9" fillId="7" borderId="0" xfId="1" applyFont="1" applyFill="1" applyAlignment="1">
      <alignment vertical="center"/>
    </xf>
    <xf numFmtId="0" fontId="10" fillId="7" borderId="0" xfId="1" applyFont="1" applyFill="1" applyAlignment="1">
      <alignment vertical="center"/>
    </xf>
    <xf numFmtId="0" fontId="11" fillId="6" borderId="0" xfId="1" applyFont="1" applyFill="1" applyAlignment="1">
      <alignment vertical="center"/>
    </xf>
    <xf numFmtId="0" fontId="12" fillId="7" borderId="0" xfId="1" applyFont="1" applyFill="1" applyAlignment="1">
      <alignment vertical="center"/>
    </xf>
    <xf numFmtId="0" fontId="13" fillId="7" borderId="0" xfId="1" applyFont="1" applyFill="1" applyAlignment="1">
      <alignment vertical="center"/>
    </xf>
    <xf numFmtId="0" fontId="12" fillId="6" borderId="0" xfId="1" applyFont="1" applyFill="1" applyAlignment="1">
      <alignment vertical="center"/>
    </xf>
    <xf numFmtId="164" fontId="12" fillId="6" borderId="0" xfId="1" applyNumberFormat="1" applyFont="1" applyFill="1" applyAlignment="1">
      <alignment horizontal="left" vertical="center"/>
    </xf>
    <xf numFmtId="0" fontId="14" fillId="7" borderId="0" xfId="1" applyFont="1" applyFill="1" applyAlignment="1">
      <alignment vertical="center"/>
    </xf>
    <xf numFmtId="0" fontId="15" fillId="6" borderId="0" xfId="1" applyFont="1" applyFill="1" applyAlignment="1">
      <alignment vertical="center"/>
    </xf>
    <xf numFmtId="0" fontId="8" fillId="6" borderId="0" xfId="3" applyFill="1" applyAlignment="1">
      <alignment vertical="center"/>
    </xf>
    <xf numFmtId="0" fontId="12" fillId="6" borderId="0" xfId="1" applyFont="1" applyFill="1" applyAlignment="1">
      <alignment vertical="center"/>
    </xf>
    <xf numFmtId="0" fontId="7" fillId="6" borderId="0" xfId="1" applyFont="1" applyFill="1" applyAlignment="1">
      <alignment horizontal="center" vertical="center"/>
    </xf>
    <xf numFmtId="0" fontId="8" fillId="6" borderId="0" xfId="3" applyFill="1" applyAlignment="1">
      <alignment vertical="center"/>
    </xf>
  </cellXfs>
  <cellStyles count="4">
    <cellStyle name="Hyperlink 2" xfId="3" xr:uid="{FC2B8468-3BC4-4CBF-9ACD-5E9A0531220F}"/>
    <cellStyle name="Normal" xfId="0" builtinId="0"/>
    <cellStyle name="Normal 2" xfId="1" xr:uid="{631008DE-3F87-4C36-8821-D36650489E23}"/>
    <cellStyle name="Normal 3" xfId="2" xr:uid="{B8ED493A-7103-46C9-9937-8D3E21825D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E72D9B-A144-4852-ADB3-453DEA1E1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7C473E-A16F-4036-8B6A-249B208D8E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23E88B-B039-4BBD-84CB-7933D3A53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4B9CE0-A273-4648-A21B-FA29925FC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CD15C9-4745-4108-BA5A-8A7AA08A7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10A967-1280-45DD-BD29-088B7378E639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89089" name="Drop Down 1" hidden="1">
              <a:extLst>
                <a:ext uri="{63B3BB69-23CF-44E3-9099-C40C66FF867C}">
                  <a14:compatExt spid="_x0000_s89089"/>
                </a:ext>
                <a:ext uri="{FF2B5EF4-FFF2-40B4-BE49-F238E27FC236}">
                  <a16:creationId xmlns:a16="http://schemas.microsoft.com/office/drawing/2014/main" id="{00000000-0008-0000-0100-000001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149D-FA6D-48E9-8BBB-95342C9DA0D7}">
  <sheetPr codeName="Sheet3"/>
  <dimension ref="A1:Z99"/>
  <sheetViews>
    <sheetView showGridLines="0" zoomScaleNormal="100" workbookViewId="0">
      <selection activeCell="C22" sqref="C22"/>
    </sheetView>
  </sheetViews>
  <sheetFormatPr defaultColWidth="8.88671875" defaultRowHeight="14.4" x14ac:dyDescent="0.3"/>
  <cols>
    <col min="1" max="4" width="21.6640625" style="16" customWidth="1"/>
    <col min="5" max="6" width="14.109375" style="16" customWidth="1"/>
    <col min="7" max="7" width="12.109375" style="16" customWidth="1"/>
    <col min="8" max="10" width="8.109375" style="16" customWidth="1"/>
    <col min="11" max="11" width="9.6640625" style="16" customWidth="1"/>
    <col min="12" max="12" width="8.109375" style="16" customWidth="1"/>
    <col min="13" max="13" width="10" style="16" customWidth="1"/>
    <col min="14" max="14" width="11.44140625" style="16" customWidth="1"/>
    <col min="15" max="15" width="13.44140625" style="16" customWidth="1"/>
    <col min="16" max="16384" width="8.88671875" style="16"/>
  </cols>
  <sheetData>
    <row r="1" spans="1:26" x14ac:dyDescent="0.3">
      <c r="A1" s="14"/>
      <c r="B1" s="14"/>
      <c r="C1" s="14"/>
      <c r="D1" s="1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3">
      <c r="A2" s="14"/>
      <c r="B2" s="14"/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3">
      <c r="A3" s="14"/>
      <c r="B3" s="14"/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3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3">
      <c r="A5" s="14"/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3">
      <c r="A6" s="14"/>
      <c r="B6" s="14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3">
      <c r="A7" s="14"/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3">
      <c r="A8" s="14"/>
      <c r="B8" s="14"/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3">
      <c r="A9" s="14"/>
      <c r="B9" s="14"/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3">
      <c r="A10" s="14"/>
      <c r="B10" s="14"/>
      <c r="C10" s="14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3">
      <c r="A11" s="14"/>
      <c r="B11" s="14"/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3">
      <c r="A12" s="14"/>
      <c r="B12" s="14"/>
      <c r="C12" s="14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3">
      <c r="A13" s="14"/>
      <c r="B13" s="14"/>
      <c r="C13" s="14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3">
      <c r="A14" s="14"/>
      <c r="B14" s="14"/>
      <c r="C14" s="14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3">
      <c r="A15" s="14"/>
      <c r="B15" s="14"/>
      <c r="C15" s="14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2.75" customHeight="1" x14ac:dyDescent="0.3">
      <c r="A16" s="31" t="s">
        <v>68</v>
      </c>
      <c r="B16" s="31"/>
      <c r="C16" s="31"/>
      <c r="D16" s="31"/>
      <c r="E16" s="17"/>
      <c r="F16" s="17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7.25" customHeight="1" x14ac:dyDescent="0.3">
      <c r="A17" s="19"/>
      <c r="B17" s="19"/>
      <c r="C17" s="19"/>
      <c r="D17" s="1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7.25" customHeight="1" x14ac:dyDescent="0.3">
      <c r="A18" s="19"/>
      <c r="B18" s="19"/>
      <c r="C18" s="19"/>
      <c r="D18" s="19"/>
      <c r="E18" s="20"/>
      <c r="F18" s="20"/>
      <c r="G18" s="21"/>
      <c r="H18" s="21"/>
      <c r="I18" s="21"/>
      <c r="J18" s="21"/>
      <c r="K18" s="21"/>
      <c r="L18" s="21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7.25" customHeight="1" x14ac:dyDescent="0.3">
      <c r="A19" s="22" t="s">
        <v>69</v>
      </c>
      <c r="B19" s="30" t="s">
        <v>80</v>
      </c>
      <c r="C19" s="30"/>
      <c r="D19" s="30"/>
      <c r="E19" s="23"/>
      <c r="F19" s="23"/>
      <c r="G19" s="24"/>
      <c r="H19" s="24"/>
      <c r="I19" s="24"/>
      <c r="J19" s="24"/>
      <c r="K19" s="24"/>
      <c r="L19" s="2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7.25" customHeight="1" x14ac:dyDescent="0.3">
      <c r="A20" s="22" t="s">
        <v>70</v>
      </c>
      <c r="B20" s="30" t="s">
        <v>83</v>
      </c>
      <c r="C20" s="30"/>
      <c r="D20" s="30"/>
      <c r="E20" s="23"/>
      <c r="F20" s="23"/>
      <c r="G20" s="24"/>
      <c r="H20" s="24"/>
      <c r="I20" s="24"/>
      <c r="J20" s="24"/>
      <c r="K20" s="24"/>
      <c r="L20" s="2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7.25" customHeight="1" x14ac:dyDescent="0.3">
      <c r="A21" s="22" t="s">
        <v>71</v>
      </c>
      <c r="B21" s="25" t="s">
        <v>81</v>
      </c>
      <c r="C21" s="25"/>
      <c r="D21" s="25"/>
      <c r="E21" s="23"/>
      <c r="F21" s="23"/>
      <c r="G21" s="24"/>
      <c r="H21" s="24"/>
      <c r="I21" s="24"/>
      <c r="J21" s="24"/>
      <c r="K21" s="24"/>
      <c r="L21" s="2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7.25" customHeight="1" x14ac:dyDescent="0.3">
      <c r="A22" s="22"/>
      <c r="B22" s="25"/>
      <c r="C22" s="25"/>
      <c r="D22" s="25"/>
      <c r="E22" s="23"/>
      <c r="F22" s="23"/>
      <c r="G22" s="24"/>
      <c r="H22" s="24"/>
      <c r="I22" s="24"/>
      <c r="J22" s="24"/>
      <c r="K22" s="24"/>
      <c r="L22" s="2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7.25" customHeight="1" x14ac:dyDescent="0.3">
      <c r="A23" s="22" t="s">
        <v>72</v>
      </c>
      <c r="B23" s="30" t="s">
        <v>82</v>
      </c>
      <c r="C23" s="30"/>
      <c r="D23" s="3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7.25" customHeight="1" x14ac:dyDescent="0.3">
      <c r="A24" s="22"/>
      <c r="B24" s="25"/>
      <c r="C24" s="25"/>
      <c r="D24" s="2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7.25" customHeight="1" x14ac:dyDescent="0.3">
      <c r="A25" s="22"/>
      <c r="B25" s="25"/>
      <c r="C25" s="25"/>
      <c r="D25" s="2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7.25" customHeight="1" x14ac:dyDescent="0.3">
      <c r="A26" s="22" t="s">
        <v>73</v>
      </c>
      <c r="B26" s="30" t="s">
        <v>82</v>
      </c>
      <c r="C26" s="30"/>
      <c r="D26" s="3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7.25" customHeight="1" x14ac:dyDescent="0.3">
      <c r="A27" s="22"/>
      <c r="B27" s="25"/>
      <c r="C27" s="25"/>
      <c r="D27" s="2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7.25" customHeight="1" x14ac:dyDescent="0.3">
      <c r="A28" s="22"/>
      <c r="B28" s="25"/>
      <c r="C28" s="25"/>
      <c r="D28" s="2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7.25" customHeight="1" x14ac:dyDescent="0.3">
      <c r="A29" s="22" t="s">
        <v>74</v>
      </c>
      <c r="B29" s="26">
        <v>1</v>
      </c>
      <c r="C29" s="25"/>
      <c r="D29" s="2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7.25" customHeight="1" x14ac:dyDescent="0.3">
      <c r="A30" s="22" t="s">
        <v>75</v>
      </c>
      <c r="B30" s="32" t="s">
        <v>76</v>
      </c>
      <c r="C30" s="30"/>
      <c r="D30" s="30"/>
      <c r="E30" s="27"/>
      <c r="F30" s="27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7.25" customHeight="1" x14ac:dyDescent="0.3">
      <c r="A31" s="22" t="s">
        <v>77</v>
      </c>
      <c r="B31" s="30" t="s">
        <v>78</v>
      </c>
      <c r="C31" s="30"/>
      <c r="D31" s="30"/>
      <c r="E31" s="27"/>
      <c r="F31" s="27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7.25" customHeight="1" x14ac:dyDescent="0.3">
      <c r="A32" s="28"/>
      <c r="B32" s="29" t="s">
        <v>79</v>
      </c>
      <c r="C32" s="28"/>
      <c r="D32" s="28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3">
      <c r="A33" s="14"/>
      <c r="B33" s="14"/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3">
      <c r="A34" s="14"/>
      <c r="B34" s="14"/>
      <c r="C34" s="14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3">
      <c r="A35" s="14"/>
      <c r="B35" s="14"/>
      <c r="C35" s="14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3">
      <c r="A36" s="14"/>
      <c r="B36" s="14"/>
      <c r="C36" s="14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3">
      <c r="A37" s="14"/>
      <c r="B37" s="14"/>
      <c r="C37" s="14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3">
      <c r="A38" s="14"/>
      <c r="B38" s="14"/>
      <c r="C38" s="14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3">
      <c r="A39" s="14"/>
      <c r="B39" s="14"/>
      <c r="C39" s="14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3">
      <c r="A40" s="14"/>
      <c r="B40" s="14"/>
      <c r="C40" s="14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3">
      <c r="A41" s="14"/>
      <c r="B41" s="14"/>
      <c r="C41" s="14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3">
      <c r="A42" s="14"/>
      <c r="B42" s="14"/>
      <c r="C42" s="14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D0AC8691-B483-4035-9544-22406D266D8B}"/>
    <hyperlink ref="B32" r:id="rId2" xr:uid="{E3EA7F2E-29F2-43E6-8D7C-718727B4ADB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7F1A-FF79-40D3-BC21-2994503EB412}">
  <sheetPr codeName="Sheet1"/>
  <dimension ref="A3:AD37"/>
  <sheetViews>
    <sheetView zoomScaleNormal="100" workbookViewId="0">
      <selection activeCell="C4" sqref="C4"/>
    </sheetView>
  </sheetViews>
  <sheetFormatPr defaultColWidth="9.109375" defaultRowHeight="13.2" x14ac:dyDescent="0.25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441406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441406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 ht="14.4" x14ac:dyDescent="0.25">
      <c r="C3" s="8" t="str" cm="1">
        <f t="array" ref="C3">INDEX(C5:C7,$A$4)</f>
        <v>IE</v>
      </c>
      <c r="D3" s="8" t="str" cm="1">
        <f t="array" ref="D3">INDEX(D5:D7,$A$4)</f>
        <v>National</v>
      </c>
      <c r="E3" s="8" t="str" cm="1">
        <f t="array" ref="E3">INDEX(E5:E7,$A$4)</f>
        <v>IE-CW</v>
      </c>
      <c r="F3" s="8" t="str" cm="1">
        <f t="array" ref="F3">INDEX(F5:F7,$A$4)</f>
        <v>IE-D</v>
      </c>
      <c r="G3" s="8" t="str" cm="1">
        <f t="array" ref="G3">INDEX(G5:G7,$A$4)</f>
        <v>IE-KE</v>
      </c>
      <c r="H3" s="8" t="str" cm="1">
        <f t="array" ref="H3">INDEX(H5:H7,$A$4)</f>
        <v>IE-KK</v>
      </c>
      <c r="I3" s="8" t="str" cm="1">
        <f t="array" ref="I3">INDEX(I5:I7,$A$4)</f>
        <v>IE-LS</v>
      </c>
      <c r="J3" s="8" t="str" cm="1">
        <f t="array" ref="J3">INDEX(J5:J7,$A$4)</f>
        <v>IE-LD</v>
      </c>
      <c r="K3" s="8" t="str" cm="1">
        <f t="array" ref="K3">INDEX(K5:K7,$A$4)</f>
        <v>IE-LH</v>
      </c>
      <c r="L3" s="8" t="str" cm="1">
        <f t="array" ref="L3">INDEX(L5:L7,$A$4)</f>
        <v>IE-MH</v>
      </c>
      <c r="M3" s="8" t="str" cm="1">
        <f t="array" ref="M3">INDEX(M5:M7,$A$4)</f>
        <v>IE-OY</v>
      </c>
      <c r="N3" s="8" t="str" cm="1">
        <f t="array" ref="N3">INDEX(N5:N7,$A$4)</f>
        <v>IE-WH</v>
      </c>
      <c r="O3" s="8" t="str" cm="1">
        <f t="array" ref="O3">INDEX(O5:O7,$A$4)</f>
        <v>IE-WX</v>
      </c>
      <c r="P3" s="8" t="str" cm="1">
        <f t="array" ref="P3">INDEX(P5:P7,$A$4)</f>
        <v>IE-WW</v>
      </c>
      <c r="Q3" s="8" t="str" cm="1">
        <f t="array" ref="Q3">INDEX(Q5:Q7,$A$4)</f>
        <v>IE-CE</v>
      </c>
      <c r="R3" s="8" t="str" cm="1">
        <f t="array" ref="R3">INDEX(R5:R7,$A$4)</f>
        <v>IE-CO</v>
      </c>
      <c r="S3" s="8" t="str" cm="1">
        <f t="array" ref="S3">INDEX(S5:S7,$A$4)</f>
        <v>IE-KY</v>
      </c>
      <c r="T3" s="8" t="str" cm="1">
        <f t="array" ref="T3">INDEX(T5:T7,$A$4)</f>
        <v>IE-LK</v>
      </c>
      <c r="U3" s="8" t="str" cm="1">
        <f t="array" ref="U3">INDEX(U5:U7,$A$4)</f>
        <v>IE-TA</v>
      </c>
      <c r="V3" s="8" t="str" cm="1">
        <f t="array" ref="V3">INDEX(V5:V7,$A$4)</f>
        <v>IE-WD</v>
      </c>
      <c r="W3" s="8" t="str" cm="1">
        <f t="array" ref="W3">INDEX(W5:W7,$A$4)</f>
        <v>IE-G</v>
      </c>
      <c r="X3" s="8" t="str" cm="1">
        <f t="array" ref="X3">INDEX(X5:X7,$A$4)</f>
        <v>IE-LM</v>
      </c>
      <c r="Y3" s="8" t="str" cm="1">
        <f t="array" ref="Y3">INDEX(Y5:Y7,$A$4)</f>
        <v>IE-MO</v>
      </c>
      <c r="Z3" s="8" t="str" cm="1">
        <f t="array" ref="Z3">INDEX(Z5:Z7,$A$4)</f>
        <v>IE-RN</v>
      </c>
      <c r="AA3" s="8" t="str" cm="1">
        <f t="array" ref="AA3">INDEX(AA5:AA7,$A$4)</f>
        <v>IE-SO</v>
      </c>
      <c r="AB3" s="8" t="str" cm="1">
        <f t="array" ref="AB3">INDEX(AB5:AB7,$A$4)</f>
        <v>IE-CN</v>
      </c>
      <c r="AC3" s="8" t="str" cm="1">
        <f t="array" ref="AC3">INDEX(AC5:AC7,$A$4)</f>
        <v>IE-DL</v>
      </c>
      <c r="AD3" s="8" t="str" cm="1">
        <f t="array" ref="AD3">INDEX(AD5:AD7,$A$4)</f>
        <v>IE-MN</v>
      </c>
    </row>
    <row r="4" spans="1:30" x14ac:dyDescent="0.25">
      <c r="A4">
        <v>1</v>
      </c>
    </row>
    <row r="5" spans="1:30" ht="14.4" x14ac:dyDescent="0.25">
      <c r="A5" t="s">
        <v>10</v>
      </c>
      <c r="C5" s="9" t="s">
        <v>0</v>
      </c>
      <c r="D5" s="9" t="s">
        <v>9</v>
      </c>
      <c r="E5" s="8" t="str">
        <f>Regions!A11</f>
        <v>IE-CW</v>
      </c>
      <c r="F5" s="8" t="str">
        <f>Regions!A16</f>
        <v>IE-D</v>
      </c>
      <c r="G5" s="8" t="str">
        <f>Regions!A19</f>
        <v>IE-KE</v>
      </c>
      <c r="H5" s="8" t="str">
        <f>Regions!A20</f>
        <v>IE-KK</v>
      </c>
      <c r="I5" s="8" t="str">
        <f>Regions!A21</f>
        <v>IE-LS</v>
      </c>
      <c r="J5" s="8" t="str">
        <f>Regions!A24</f>
        <v>IE-LD</v>
      </c>
      <c r="K5" s="8" t="str">
        <f>Regions!A25</f>
        <v>IE-LH</v>
      </c>
      <c r="L5" s="8" t="str">
        <f>Regions!A27</f>
        <v>IE-MH</v>
      </c>
      <c r="M5" s="8" t="str">
        <f>Regions!A29</f>
        <v>IE-OY</v>
      </c>
      <c r="N5" s="8" t="str">
        <f>Regions!A34</f>
        <v>IE-WH</v>
      </c>
      <c r="O5" s="8" t="str">
        <f>Regions!A35</f>
        <v>IE-WX</v>
      </c>
      <c r="P5" s="8" t="str">
        <f>Regions!A36</f>
        <v>IE-WW</v>
      </c>
      <c r="Q5" s="8" t="str">
        <f>Regions!A13</f>
        <v>IE-CE</v>
      </c>
      <c r="R5" s="8" t="str">
        <f>Regions!A14</f>
        <v>IE-CO</v>
      </c>
      <c r="S5" s="8" t="str">
        <f>Regions!A18</f>
        <v>IE-KY</v>
      </c>
      <c r="T5" s="8" t="str">
        <f>Regions!A23</f>
        <v>IE-LK</v>
      </c>
      <c r="U5" s="8" t="str">
        <f>Regions!A32</f>
        <v>IE-TA</v>
      </c>
      <c r="V5" s="8" t="str">
        <f>Regions!A33</f>
        <v>IE-WD</v>
      </c>
      <c r="W5" s="8" t="str">
        <f>Regions!A17</f>
        <v>IE-G</v>
      </c>
      <c r="X5" s="8" t="str">
        <f>Regions!A22</f>
        <v>IE-LM</v>
      </c>
      <c r="Y5" s="8" t="str">
        <f>Regions!A26</f>
        <v>IE-MO</v>
      </c>
      <c r="Z5" s="8" t="str">
        <f>Regions!A30</f>
        <v>IE-RN</v>
      </c>
      <c r="AA5" s="8" t="str">
        <f>Regions!A31</f>
        <v>IE-SO</v>
      </c>
      <c r="AB5" s="8" t="str">
        <f>Regions!A12</f>
        <v>IE-CN</v>
      </c>
      <c r="AC5" s="8" t="str">
        <f>Regions!A15</f>
        <v>IE-DL</v>
      </c>
      <c r="AD5" s="8" t="str">
        <f>Regions!A28</f>
        <v>IE-MN</v>
      </c>
    </row>
    <row r="6" spans="1:30" ht="14.4" x14ac:dyDescent="0.25">
      <c r="A6" t="s">
        <v>11</v>
      </c>
      <c r="C6" s="8" t="str">
        <f>C5</f>
        <v>IE</v>
      </c>
      <c r="D6" s="8" t="str">
        <f>"*"&amp;D5</f>
        <v>*National</v>
      </c>
      <c r="E6" s="8" t="str">
        <f t="shared" ref="E6:AD6" si="0">"*"&amp;E5</f>
        <v>*IE-CW</v>
      </c>
      <c r="F6" s="8" t="str">
        <f t="shared" si="0"/>
        <v>*IE-D</v>
      </c>
      <c r="G6" s="8" t="str">
        <f t="shared" si="0"/>
        <v>*IE-KE</v>
      </c>
      <c r="H6" s="8" t="str">
        <f t="shared" si="0"/>
        <v>*IE-KK</v>
      </c>
      <c r="I6" s="8" t="str">
        <f t="shared" si="0"/>
        <v>*IE-LS</v>
      </c>
      <c r="J6" s="8" t="str">
        <f t="shared" si="0"/>
        <v>*IE-LD</v>
      </c>
      <c r="K6" s="8" t="str">
        <f t="shared" si="0"/>
        <v>*IE-LH</v>
      </c>
      <c r="L6" s="8" t="str">
        <f t="shared" si="0"/>
        <v>*IE-MH</v>
      </c>
      <c r="M6" s="8" t="str">
        <f t="shared" si="0"/>
        <v>*IE-OY</v>
      </c>
      <c r="N6" s="8" t="str">
        <f t="shared" si="0"/>
        <v>*IE-WH</v>
      </c>
      <c r="O6" s="8" t="str">
        <f t="shared" si="0"/>
        <v>*IE-WX</v>
      </c>
      <c r="P6" s="8" t="str">
        <f t="shared" si="0"/>
        <v>*IE-WW</v>
      </c>
      <c r="Q6" s="8" t="str">
        <f t="shared" si="0"/>
        <v>*IE-CE</v>
      </c>
      <c r="R6" s="8" t="str">
        <f t="shared" si="0"/>
        <v>*IE-CO</v>
      </c>
      <c r="S6" s="8" t="str">
        <f t="shared" si="0"/>
        <v>*IE-KY</v>
      </c>
      <c r="T6" s="8" t="str">
        <f t="shared" si="0"/>
        <v>*IE-LK</v>
      </c>
      <c r="U6" s="8" t="str">
        <f t="shared" si="0"/>
        <v>*IE-TA</v>
      </c>
      <c r="V6" s="8" t="str">
        <f t="shared" si="0"/>
        <v>*IE-WD</v>
      </c>
      <c r="W6" s="8" t="str">
        <f t="shared" si="0"/>
        <v>*IE-G</v>
      </c>
      <c r="X6" s="8" t="str">
        <f t="shared" si="0"/>
        <v>*IE-LM</v>
      </c>
      <c r="Y6" s="8" t="str">
        <f t="shared" si="0"/>
        <v>*IE-MO</v>
      </c>
      <c r="Z6" s="8" t="str">
        <f t="shared" si="0"/>
        <v>*IE-RN</v>
      </c>
      <c r="AA6" s="8" t="str">
        <f t="shared" si="0"/>
        <v>*IE-SO</v>
      </c>
      <c r="AB6" s="8" t="str">
        <f t="shared" si="0"/>
        <v>*IE-CN</v>
      </c>
      <c r="AC6" s="8" t="str">
        <f t="shared" si="0"/>
        <v>*IE-DL</v>
      </c>
      <c r="AD6" s="8" t="str">
        <f t="shared" si="0"/>
        <v>*IE-MN</v>
      </c>
    </row>
    <row r="7" spans="1:30" ht="14.4" x14ac:dyDescent="0.25">
      <c r="A7" t="s">
        <v>12</v>
      </c>
      <c r="C7" s="8" t="str">
        <f>"*"&amp;C5</f>
        <v>*IE</v>
      </c>
      <c r="D7" s="8" t="str">
        <f>D5</f>
        <v>National</v>
      </c>
      <c r="E7" s="8" t="str">
        <f t="shared" ref="E7:AD7" si="1">E5</f>
        <v>IE-CW</v>
      </c>
      <c r="F7" s="8" t="str">
        <f t="shared" si="1"/>
        <v>IE-D</v>
      </c>
      <c r="G7" s="8" t="str">
        <f t="shared" si="1"/>
        <v>IE-KE</v>
      </c>
      <c r="H7" s="8" t="str">
        <f t="shared" si="1"/>
        <v>IE-KK</v>
      </c>
      <c r="I7" s="8" t="str">
        <f t="shared" si="1"/>
        <v>IE-LS</v>
      </c>
      <c r="J7" s="8" t="str">
        <f t="shared" si="1"/>
        <v>IE-LD</v>
      </c>
      <c r="K7" s="8" t="str">
        <f t="shared" si="1"/>
        <v>IE-LH</v>
      </c>
      <c r="L7" s="8" t="str">
        <f t="shared" si="1"/>
        <v>IE-MH</v>
      </c>
      <c r="M7" s="8" t="str">
        <f t="shared" si="1"/>
        <v>IE-OY</v>
      </c>
      <c r="N7" s="8" t="str">
        <f t="shared" si="1"/>
        <v>IE-WH</v>
      </c>
      <c r="O7" s="8" t="str">
        <f t="shared" si="1"/>
        <v>IE-WX</v>
      </c>
      <c r="P7" s="8" t="str">
        <f t="shared" si="1"/>
        <v>IE-WW</v>
      </c>
      <c r="Q7" s="8" t="str">
        <f t="shared" si="1"/>
        <v>IE-CE</v>
      </c>
      <c r="R7" s="8" t="str">
        <f t="shared" si="1"/>
        <v>IE-CO</v>
      </c>
      <c r="S7" s="8" t="str">
        <f t="shared" si="1"/>
        <v>IE-KY</v>
      </c>
      <c r="T7" s="8" t="str">
        <f t="shared" si="1"/>
        <v>IE-LK</v>
      </c>
      <c r="U7" s="8" t="str">
        <f t="shared" si="1"/>
        <v>IE-TA</v>
      </c>
      <c r="V7" s="8" t="str">
        <f t="shared" si="1"/>
        <v>IE-WD</v>
      </c>
      <c r="W7" s="8" t="str">
        <f t="shared" si="1"/>
        <v>IE-G</v>
      </c>
      <c r="X7" s="8" t="str">
        <f t="shared" si="1"/>
        <v>IE-LM</v>
      </c>
      <c r="Y7" s="8" t="str">
        <f t="shared" si="1"/>
        <v>IE-MO</v>
      </c>
      <c r="Z7" s="8" t="str">
        <f t="shared" si="1"/>
        <v>IE-RN</v>
      </c>
      <c r="AA7" s="8" t="str">
        <f t="shared" si="1"/>
        <v>IE-SO</v>
      </c>
      <c r="AB7" s="8" t="str">
        <f t="shared" si="1"/>
        <v>IE-CN</v>
      </c>
      <c r="AC7" s="8" t="str">
        <f t="shared" si="1"/>
        <v>IE-DL</v>
      </c>
      <c r="AD7" s="8" t="str">
        <f t="shared" si="1"/>
        <v>IE-MN</v>
      </c>
    </row>
    <row r="10" spans="1:30" ht="15" thickBot="1" x14ac:dyDescent="0.35">
      <c r="A10" s="10" t="s">
        <v>13</v>
      </c>
      <c r="B10" s="10" t="s">
        <v>14</v>
      </c>
    </row>
    <row r="11" spans="1:30" x14ac:dyDescent="0.25">
      <c r="A11" s="11" t="s">
        <v>15</v>
      </c>
      <c r="B11" s="11" t="s">
        <v>16</v>
      </c>
    </row>
    <row r="12" spans="1:30" x14ac:dyDescent="0.25">
      <c r="A12" s="12" t="s">
        <v>17</v>
      </c>
      <c r="B12" s="12" t="s">
        <v>18</v>
      </c>
    </row>
    <row r="13" spans="1:30" x14ac:dyDescent="0.25">
      <c r="A13" s="12" t="s">
        <v>19</v>
      </c>
      <c r="B13" s="12" t="s">
        <v>20</v>
      </c>
    </row>
    <row r="14" spans="1:30" x14ac:dyDescent="0.25">
      <c r="A14" s="12" t="s">
        <v>21</v>
      </c>
      <c r="B14" s="12" t="s">
        <v>22</v>
      </c>
    </row>
    <row r="15" spans="1:30" x14ac:dyDescent="0.25">
      <c r="A15" s="12" t="s">
        <v>23</v>
      </c>
      <c r="B15" s="12" t="s">
        <v>24</v>
      </c>
    </row>
    <row r="16" spans="1:30" x14ac:dyDescent="0.25">
      <c r="A16" s="12" t="s">
        <v>25</v>
      </c>
      <c r="B16" s="12" t="s">
        <v>26</v>
      </c>
    </row>
    <row r="17" spans="1:2" x14ac:dyDescent="0.25">
      <c r="A17" s="12" t="s">
        <v>27</v>
      </c>
      <c r="B17" s="12" t="s">
        <v>28</v>
      </c>
    </row>
    <row r="18" spans="1:2" x14ac:dyDescent="0.25">
      <c r="A18" s="12" t="s">
        <v>29</v>
      </c>
      <c r="B18" s="12" t="s">
        <v>30</v>
      </c>
    </row>
    <row r="19" spans="1:2" x14ac:dyDescent="0.25">
      <c r="A19" s="12" t="s">
        <v>31</v>
      </c>
      <c r="B19" s="12" t="s">
        <v>32</v>
      </c>
    </row>
    <row r="20" spans="1:2" x14ac:dyDescent="0.25">
      <c r="A20" s="12" t="s">
        <v>33</v>
      </c>
      <c r="B20" s="12" t="s">
        <v>34</v>
      </c>
    </row>
    <row r="21" spans="1:2" x14ac:dyDescent="0.25">
      <c r="A21" s="12" t="s">
        <v>35</v>
      </c>
      <c r="B21" s="12" t="s">
        <v>36</v>
      </c>
    </row>
    <row r="22" spans="1:2" x14ac:dyDescent="0.25">
      <c r="A22" s="12" t="s">
        <v>37</v>
      </c>
      <c r="B22" s="12" t="s">
        <v>38</v>
      </c>
    </row>
    <row r="23" spans="1:2" x14ac:dyDescent="0.25">
      <c r="A23" s="12" t="s">
        <v>39</v>
      </c>
      <c r="B23" s="12" t="s">
        <v>40</v>
      </c>
    </row>
    <row r="24" spans="1:2" x14ac:dyDescent="0.25">
      <c r="A24" s="12" t="s">
        <v>41</v>
      </c>
      <c r="B24" s="12" t="s">
        <v>42</v>
      </c>
    </row>
    <row r="25" spans="1:2" x14ac:dyDescent="0.25">
      <c r="A25" s="12" t="s">
        <v>43</v>
      </c>
      <c r="B25" s="12" t="s">
        <v>44</v>
      </c>
    </row>
    <row r="26" spans="1:2" x14ac:dyDescent="0.25">
      <c r="A26" s="12" t="s">
        <v>45</v>
      </c>
      <c r="B26" s="12" t="s">
        <v>46</v>
      </c>
    </row>
    <row r="27" spans="1:2" x14ac:dyDescent="0.25">
      <c r="A27" s="12" t="s">
        <v>47</v>
      </c>
      <c r="B27" s="12" t="s">
        <v>48</v>
      </c>
    </row>
    <row r="28" spans="1:2" x14ac:dyDescent="0.25">
      <c r="A28" s="12" t="s">
        <v>49</v>
      </c>
      <c r="B28" s="12" t="s">
        <v>50</v>
      </c>
    </row>
    <row r="29" spans="1:2" x14ac:dyDescent="0.25">
      <c r="A29" s="12" t="s">
        <v>51</v>
      </c>
      <c r="B29" s="12" t="s">
        <v>52</v>
      </c>
    </row>
    <row r="30" spans="1:2" x14ac:dyDescent="0.25">
      <c r="A30" s="12" t="s">
        <v>53</v>
      </c>
      <c r="B30" s="12" t="s">
        <v>54</v>
      </c>
    </row>
    <row r="31" spans="1:2" x14ac:dyDescent="0.25">
      <c r="A31" s="12" t="s">
        <v>55</v>
      </c>
      <c r="B31" s="12" t="s">
        <v>56</v>
      </c>
    </row>
    <row r="32" spans="1:2" x14ac:dyDescent="0.25">
      <c r="A32" s="12" t="s">
        <v>57</v>
      </c>
      <c r="B32" s="12" t="s">
        <v>58</v>
      </c>
    </row>
    <row r="33" spans="1:2" x14ac:dyDescent="0.25">
      <c r="A33" s="12" t="s">
        <v>59</v>
      </c>
      <c r="B33" s="12" t="s">
        <v>60</v>
      </c>
    </row>
    <row r="34" spans="1:2" x14ac:dyDescent="0.25">
      <c r="A34" s="12" t="s">
        <v>61</v>
      </c>
      <c r="B34" s="12" t="s">
        <v>62</v>
      </c>
    </row>
    <row r="35" spans="1:2" x14ac:dyDescent="0.25">
      <c r="A35" s="12" t="s">
        <v>63</v>
      </c>
      <c r="B35" s="12" t="s">
        <v>64</v>
      </c>
    </row>
    <row r="36" spans="1:2" x14ac:dyDescent="0.25">
      <c r="A36" s="12" t="s">
        <v>65</v>
      </c>
      <c r="B36" s="12" t="s">
        <v>66</v>
      </c>
    </row>
    <row r="37" spans="1:2" ht="14.4" x14ac:dyDescent="0.3">
      <c r="A37" s="13" t="s">
        <v>67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89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A7"/>
  <sheetViews>
    <sheetView tabSelected="1" zoomScaleNormal="100" workbookViewId="0">
      <selection activeCell="D5" sqref="D5"/>
    </sheetView>
  </sheetViews>
  <sheetFormatPr defaultRowHeight="13.2" x14ac:dyDescent="0.25"/>
  <cols>
    <col min="1" max="1" width="2.33203125" customWidth="1"/>
    <col min="2" max="2" width="10" customWidth="1"/>
    <col min="3" max="3" width="23.33203125" bestFit="1" customWidth="1"/>
    <col min="4" max="4" width="9.33203125" bestFit="1" customWidth="1"/>
    <col min="5" max="5" width="9.5546875" bestFit="1" customWidth="1"/>
    <col min="6" max="6" width="8.6640625" bestFit="1" customWidth="1"/>
    <col min="7" max="7" width="17" customWidth="1"/>
    <col min="8" max="8" width="15.6640625" style="2" customWidth="1"/>
    <col min="9" max="9" width="8.5546875" style="2" bestFit="1" customWidth="1"/>
    <col min="10" max="11" width="3.6640625" style="2" bestFit="1" customWidth="1"/>
    <col min="12" max="12" width="3.44140625" style="2" bestFit="1" customWidth="1"/>
    <col min="13" max="13" width="3.33203125" style="2" bestFit="1" customWidth="1"/>
    <col min="14" max="14" width="3.5546875" style="2" bestFit="1" customWidth="1"/>
    <col min="15" max="15" width="3.6640625" style="2" bestFit="1" customWidth="1"/>
    <col min="16" max="17" width="3.44140625" style="2" bestFit="1" customWidth="1"/>
    <col min="18" max="18" width="2.5546875" style="2" bestFit="1" customWidth="1"/>
    <col min="19" max="19" width="3.44140625" style="2" bestFit="1" customWidth="1"/>
    <col min="20" max="21" width="3.6640625" style="2" bestFit="1" customWidth="1"/>
    <col min="22" max="23" width="2.6640625" style="2" bestFit="1" customWidth="1"/>
    <col min="24" max="24" width="2.5546875" style="2" bestFit="1" customWidth="1"/>
    <col min="25" max="25" width="3.33203125" style="2" bestFit="1" customWidth="1"/>
    <col min="26" max="26" width="3.44140625" style="2" bestFit="1" customWidth="1"/>
    <col min="27" max="27" width="3.33203125" style="2" bestFit="1" customWidth="1"/>
    <col min="28" max="28" width="3.5546875" bestFit="1" customWidth="1"/>
    <col min="29" max="29" width="3.44140625" bestFit="1" customWidth="1"/>
    <col min="30" max="30" width="3.6640625" bestFit="1" customWidth="1"/>
    <col min="31" max="32" width="3.33203125" bestFit="1" customWidth="1"/>
    <col min="33" max="33" width="3.6640625" bestFit="1" customWidth="1"/>
    <col min="34" max="34" width="3.44140625" bestFit="1" customWidth="1"/>
    <col min="35" max="35" width="2.6640625" bestFit="1" customWidth="1"/>
    <col min="36" max="36" width="3.5546875" bestFit="1" customWidth="1"/>
    <col min="37" max="37" width="3.6640625" bestFit="1" customWidth="1"/>
  </cols>
  <sheetData>
    <row r="3" spans="2:27" x14ac:dyDescent="0.25">
      <c r="B3" s="3" t="s">
        <v>2</v>
      </c>
      <c r="I3" s="1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2:27" ht="13.8" thickBot="1" x14ac:dyDescent="0.3">
      <c r="B4" s="4" t="s">
        <v>3</v>
      </c>
      <c r="C4" s="4" t="s">
        <v>4</v>
      </c>
      <c r="D4" s="4" t="s">
        <v>5</v>
      </c>
      <c r="E4" s="4" t="s">
        <v>6</v>
      </c>
      <c r="F4" s="6" t="s">
        <v>7</v>
      </c>
      <c r="G4" s="6" t="s">
        <v>8</v>
      </c>
      <c r="H4" s="6" t="str">
        <f>Regions!C3</f>
        <v>IE</v>
      </c>
      <c r="I4" s="7" t="str">
        <f>Regions!D3</f>
        <v>National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2:27" x14ac:dyDescent="0.25">
      <c r="C5" s="5" t="s">
        <v>1</v>
      </c>
      <c r="G5">
        <v>0</v>
      </c>
      <c r="H5">
        <v>1</v>
      </c>
      <c r="I5" s="1">
        <v>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2:27" x14ac:dyDescent="0.25"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2:27" x14ac:dyDescent="0.25"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TechSelection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cp:lastPrinted>2007-01-05T10:33:44Z</cp:lastPrinted>
  <dcterms:created xsi:type="dcterms:W3CDTF">2001-09-28T18:48:17Z</dcterms:created>
  <dcterms:modified xsi:type="dcterms:W3CDTF">2026-10-27T19:13:13Z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672318279743194</vt:r8>
  </property>
</Properties>
</file>